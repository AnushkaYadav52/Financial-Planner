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webextensions/webextension1.xml" ContentType="application/vnd.ms-office.webextension+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mc:AlternateContent xmlns:mc="http://schemas.openxmlformats.org/markup-compatibility/2006">
    <mc:Choice Requires="x15">
      <x15ac:absPath xmlns:x15ac="http://schemas.microsoft.com/office/spreadsheetml/2010/11/ac" url="/Users/anushkayadav/Desktop/"/>
    </mc:Choice>
  </mc:AlternateContent>
  <xr:revisionPtr revIDLastSave="0" documentId="8_{FD08BA24-7B5D-8349-BDB9-AEBABF6E1605}" xr6:coauthVersionLast="47" xr6:coauthVersionMax="47" xr10:uidLastSave="{00000000-0000-0000-0000-000000000000}"/>
  <bookViews>
    <workbookView xWindow="0" yWindow="500" windowWidth="28800" windowHeight="15860" activeTab="1" xr2:uid="{FBB41D6A-91E5-6849-BD25-9858C856A0CC}"/>
  </bookViews>
  <sheets>
    <sheet name="Sheet2" sheetId="7" state="hidden" r:id="rId1"/>
    <sheet name="Dashboard" sheetId="1" r:id="rId2"/>
    <sheet name="Income" sheetId="2" r:id="rId3"/>
    <sheet name="Expenses" sheetId="3" r:id="rId4"/>
    <sheet name="Goals" sheetId="4" r:id="rId5"/>
    <sheet name="Financial Summary and Advice" sheetId="5" r:id="rId6"/>
  </sheets>
  <definedNames>
    <definedName name="_xlnm._FilterDatabase" localSheetId="3" hidden="1">Expenses!$D$3:$F$17</definedName>
    <definedName name="_xlnm._FilterDatabase" localSheetId="4" hidden="1">Goals!$E$2:$E$21</definedName>
    <definedName name="_xlnm._FilterDatabase" localSheetId="2" hidden="1">Income!$C$3:$C$25</definedName>
    <definedName name="_xleta.IF" hidden="1" xlm="1">#NAME?</definedName>
    <definedName name="_xleta.MAX" hidden="1" xlm="1">#NAME?</definedName>
    <definedName name="_xleta.SUM" hidden="1" xlm="1">#NAME?</definedName>
    <definedName name="_xleta.TODAY" hidden="1" xlm="1">#NAME?</definedName>
  </definedNames>
  <calcPr calcId="191028"/>
  <pivotCaches>
    <pivotCache cacheId="0" r:id="rId7"/>
    <pivotCache cacheId="1" r:id="rId8"/>
    <pivotCache cacheId="2" r:id="rId9"/>
    <pivotCache cacheId="3"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5" i="4" l="1"/>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24"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99" i="4"/>
  <c r="H4" i="4"/>
  <c r="H5" i="4"/>
  <c r="H6" i="4"/>
  <c r="H7" i="4"/>
  <c r="I8" i="4"/>
  <c r="H22" i="4"/>
  <c r="H9" i="4"/>
  <c r="H10" i="4"/>
  <c r="H11" i="4"/>
  <c r="H12" i="4"/>
  <c r="H13" i="4"/>
  <c r="H14" i="4"/>
  <c r="H15" i="4"/>
  <c r="H16" i="4"/>
  <c r="H17" i="4"/>
  <c r="H18" i="4"/>
  <c r="H19" i="4"/>
  <c r="H20" i="4"/>
  <c r="H21"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8" i="4"/>
  <c r="O6" i="3"/>
  <c r="F5" i="1"/>
  <c r="I3" i="5"/>
  <c r="I5" i="4"/>
  <c r="I6" i="4"/>
  <c r="I7" i="4"/>
  <c r="I9" i="4"/>
  <c r="I11" i="4"/>
  <c r="I12" i="4"/>
  <c r="I13" i="4"/>
  <c r="I14" i="4"/>
  <c r="I15" i="4"/>
  <c r="I16" i="4"/>
  <c r="I17" i="4"/>
  <c r="I18" i="4"/>
  <c r="I19" i="4"/>
  <c r="I20" i="4"/>
  <c r="I21" i="4"/>
  <c r="I22" i="4"/>
  <c r="I23" i="4"/>
  <c r="I4" i="4"/>
  <c r="H3" i="5"/>
  <c r="I4" i="5"/>
  <c r="H4" i="5"/>
  <c r="E3" i="1"/>
  <c r="O8" i="3"/>
  <c r="O7" i="3"/>
  <c r="H3" i="2"/>
  <c r="L3" i="2" s="1"/>
  <c r="L4" i="3" s="1"/>
  <c r="I3" i="3"/>
  <c r="M5" i="1" s="1"/>
  <c r="M3" i="5" l="1"/>
  <c r="M4" i="5"/>
  <c r="Q5" i="1"/>
  <c r="R3" i="5"/>
  <c r="R4" i="5"/>
  <c r="Q3" i="1"/>
  <c r="M3" i="1"/>
  <c r="D3" i="5"/>
  <c r="D4" i="5"/>
  <c r="O4" i="3"/>
  <c r="L4" i="2"/>
  <c r="L5" i="3" s="1"/>
  <c r="O5" i="3" s="1"/>
</calcChain>
</file>

<file path=xl/sharedStrings.xml><?xml version="1.0" encoding="utf-8"?>
<sst xmlns="http://schemas.openxmlformats.org/spreadsheetml/2006/main" count="125" uniqueCount="84">
  <si>
    <t>Welcome to your Financial Planner!</t>
  </si>
  <si>
    <t>Income Tracker</t>
  </si>
  <si>
    <t>Total</t>
  </si>
  <si>
    <t>Income Distribution</t>
  </si>
  <si>
    <t>Date</t>
  </si>
  <si>
    <t>Source</t>
  </si>
  <si>
    <t>Description</t>
  </si>
  <si>
    <t>Expected Amount</t>
  </si>
  <si>
    <t>Actual Amount</t>
  </si>
  <si>
    <t>Savings/Investments</t>
  </si>
  <si>
    <t>Savings Account</t>
  </si>
  <si>
    <t>Spending</t>
  </si>
  <si>
    <t>Checking Account</t>
  </si>
  <si>
    <t>Cash</t>
  </si>
  <si>
    <t>WatCard Balance</t>
  </si>
  <si>
    <t>Flex Dollars Balance</t>
  </si>
  <si>
    <t>Expense Tracker</t>
  </si>
  <si>
    <t>Date Due</t>
  </si>
  <si>
    <t>Date Paid</t>
  </si>
  <si>
    <t>Expense Category</t>
  </si>
  <si>
    <t>Payment Method</t>
  </si>
  <si>
    <t>Amount</t>
  </si>
  <si>
    <t>Goal Tracker</t>
  </si>
  <si>
    <t>Goal</t>
  </si>
  <si>
    <t>Target Amount</t>
  </si>
  <si>
    <t>Start Date</t>
  </si>
  <si>
    <t>Target Date</t>
  </si>
  <si>
    <t>Amount Saved</t>
  </si>
  <si>
    <t>Remaining Balance</t>
  </si>
  <si>
    <t>Progress (%)</t>
  </si>
  <si>
    <t>Debit Card</t>
  </si>
  <si>
    <t xml:space="preserve">    </t>
  </si>
  <si>
    <t>Food on Campus</t>
  </si>
  <si>
    <t xml:space="preserve"> Updated Monthly Balance</t>
  </si>
  <si>
    <t>Freelance</t>
  </si>
  <si>
    <t>Grand Total</t>
  </si>
  <si>
    <t>Row Labels</t>
  </si>
  <si>
    <t>Sum of Actual Amount</t>
  </si>
  <si>
    <t>Financial Summary and Advice!</t>
  </si>
  <si>
    <t>Income</t>
  </si>
  <si>
    <t>Expenses</t>
  </si>
  <si>
    <t>Goals</t>
  </si>
  <si>
    <t xml:space="preserve"> </t>
  </si>
  <si>
    <t>Days till next Month</t>
  </si>
  <si>
    <t>(blank)</t>
  </si>
  <si>
    <t>Sum of Amount</t>
  </si>
  <si>
    <t>Total Monthly Income</t>
  </si>
  <si>
    <t>Total Monthly Spendings</t>
  </si>
  <si>
    <t xml:space="preserve">Greatest Monthly Income </t>
  </si>
  <si>
    <t xml:space="preserve">Greatest Monthly Expense </t>
  </si>
  <si>
    <t>Days till Target Date</t>
  </si>
  <si>
    <t>Upcoming Financial Goal</t>
  </si>
  <si>
    <t xml:space="preserve">Target Amount </t>
  </si>
  <si>
    <t>Starting Balance</t>
  </si>
  <si>
    <t>Rent</t>
  </si>
  <si>
    <t>November's Rent</t>
  </si>
  <si>
    <t>Bank Transfer</t>
  </si>
  <si>
    <t>WatCard</t>
  </si>
  <si>
    <t xml:space="preserve">Note: Please refresh the Pivot Table  </t>
  </si>
  <si>
    <t>Grant</t>
  </si>
  <si>
    <t>Leadership Award</t>
  </si>
  <si>
    <t>Sum of Target Amount</t>
  </si>
  <si>
    <t>Sum of Amount Saved</t>
  </si>
  <si>
    <t xml:space="preserve">&amp; check the filters each time you </t>
  </si>
  <si>
    <t>update the  Expense Tracker.</t>
  </si>
  <si>
    <t>update the Income Tacker.</t>
  </si>
  <si>
    <t>Please refresh the Pivot Table &amp;</t>
  </si>
  <si>
    <t xml:space="preserve">check the filters each time you </t>
  </si>
  <si>
    <t>update the Goal Tracker.</t>
  </si>
  <si>
    <t>Part-time</t>
  </si>
  <si>
    <t>Job at H&amp;M</t>
  </si>
  <si>
    <t xml:space="preserve">Social Media </t>
  </si>
  <si>
    <t>Lunch and Dinner</t>
  </si>
  <si>
    <t>Entertainment</t>
  </si>
  <si>
    <t>Subcriptions</t>
  </si>
  <si>
    <t>Groceries</t>
  </si>
  <si>
    <t xml:space="preserve">Snacks </t>
  </si>
  <si>
    <t xml:space="preserve">Save for Tuititon </t>
  </si>
  <si>
    <t>Shopping</t>
  </si>
  <si>
    <t>Birthday Present for Mom</t>
  </si>
  <si>
    <t>Save for birthday dinner</t>
  </si>
  <si>
    <t>Co-op</t>
  </si>
  <si>
    <t>First paycheck</t>
  </si>
  <si>
    <t>Birthday presents for Mom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</si>
</sst>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Red]\-&quot;$&quot;#,##0.00"/>
    <numFmt numFmtId="165" formatCode="&quot;$&quot;#,##0.00"/>
  </numFmts>
  <fonts count="16" x14ac:knownFonts="1">
    <font>
      <sz val="12"/>
      <color theme="1"/>
      <name val="Aptos Narrow"/>
      <family val="2"/>
      <scheme val="minor"/>
    </font>
    <font>
      <b/>
      <sz val="12"/>
      <color theme="1"/>
      <name val="Aptos Narrow"/>
      <family val="2"/>
      <scheme val="minor"/>
    </font>
    <font>
      <sz val="12"/>
      <color theme="1"/>
      <name val="Aptos Narrow"/>
      <family val="2"/>
      <scheme val="minor"/>
    </font>
    <font>
      <b/>
      <sz val="12"/>
      <color theme="1"/>
      <name val="Aptos Narrow"/>
      <family val="2"/>
      <scheme val="minor"/>
    </font>
    <font>
      <b/>
      <sz val="18"/>
      <color theme="1"/>
      <name val="Aptos Narrow (Body)"/>
    </font>
    <font>
      <b/>
      <sz val="36"/>
      <color theme="1"/>
      <name val="Aptos Narrow (Body)"/>
    </font>
    <font>
      <sz val="14"/>
      <color theme="1"/>
      <name val="Aptos Narrow"/>
      <family val="2"/>
      <scheme val="minor"/>
    </font>
    <font>
      <b/>
      <sz val="12"/>
      <color theme="0"/>
      <name val="Aptos Narrow"/>
      <family val="2"/>
      <scheme val="minor"/>
    </font>
    <font>
      <b/>
      <sz val="18"/>
      <color theme="0"/>
      <name val="Aptos Narrow (Body)"/>
    </font>
    <font>
      <sz val="12"/>
      <color theme="0"/>
      <name val="Aptos Narrow"/>
      <family val="2"/>
      <scheme val="minor"/>
    </font>
    <font>
      <sz val="14"/>
      <color theme="0"/>
      <name val="Aptos Narrow"/>
      <family val="2"/>
      <scheme val="minor"/>
    </font>
    <font>
      <b/>
      <sz val="18"/>
      <color theme="0"/>
      <name val="Aptos Narrow"/>
      <family val="2"/>
      <scheme val="minor"/>
    </font>
    <font>
      <b/>
      <sz val="14"/>
      <color theme="0"/>
      <name val="Aptos Narrow"/>
      <family val="2"/>
      <scheme val="minor"/>
    </font>
    <font>
      <b/>
      <sz val="36"/>
      <color theme="0"/>
      <name val="Aptos Narrow (Body)"/>
    </font>
    <font>
      <b/>
      <sz val="22"/>
      <color theme="0"/>
      <name val="Aptos Narrow"/>
      <family val="2"/>
      <scheme val="minor"/>
    </font>
    <font>
      <sz val="12"/>
      <name val="Aptos Narrow"/>
      <family val="2"/>
      <scheme val="minor"/>
    </font>
  </fonts>
  <fills count="12">
    <fill>
      <patternFill patternType="none"/>
    </fill>
    <fill>
      <patternFill patternType="gray125"/>
    </fill>
    <fill>
      <patternFill patternType="solid">
        <fgColor theme="7" tint="0.59999389629810485"/>
        <bgColor indexed="64"/>
      </patternFill>
    </fill>
    <fill>
      <patternFill patternType="solid">
        <fgColor theme="4"/>
        <bgColor indexed="64"/>
      </patternFill>
    </fill>
    <fill>
      <patternFill patternType="solid">
        <fgColor theme="8"/>
        <bgColor indexed="64"/>
      </patternFill>
    </fill>
    <fill>
      <patternFill patternType="solid">
        <fgColor theme="4" tint="-0.249977111117893"/>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6"/>
        <bgColor indexed="64"/>
      </patternFill>
    </fill>
    <fill>
      <patternFill patternType="solid">
        <fgColor theme="6" tint="-0.249977111117893"/>
        <bgColor indexed="64"/>
      </patternFill>
    </fill>
    <fill>
      <patternFill patternType="solid">
        <fgColor theme="0"/>
        <bgColor indexed="64"/>
      </patternFill>
    </fill>
    <fill>
      <patternFill patternType="solid">
        <fgColor theme="3"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96">
    <xf numFmtId="0" fontId="0" fillId="0" borderId="0" xfId="0"/>
    <xf numFmtId="0" fontId="0" fillId="0" borderId="1" xfId="0" applyBorder="1"/>
    <xf numFmtId="0" fontId="0" fillId="0" borderId="3" xfId="0" applyBorder="1"/>
    <xf numFmtId="14" fontId="0" fillId="0" borderId="3" xfId="0" applyNumberFormat="1" applyBorder="1"/>
    <xf numFmtId="0" fontId="3" fillId="0" borderId="0" xfId="0" applyFont="1" applyAlignment="1">
      <alignment horizontal="center"/>
    </xf>
    <xf numFmtId="44" fontId="0" fillId="0" borderId="1" xfId="1" applyFont="1" applyBorder="1"/>
    <xf numFmtId="14" fontId="0" fillId="0" borderId="1" xfId="0" applyNumberFormat="1" applyBorder="1"/>
    <xf numFmtId="165" fontId="0" fillId="0" borderId="1" xfId="1" applyNumberFormat="1" applyFont="1" applyBorder="1"/>
    <xf numFmtId="165" fontId="0" fillId="0" borderId="0" xfId="1" applyNumberFormat="1" applyFont="1"/>
    <xf numFmtId="165" fontId="0" fillId="0" borderId="1" xfId="0" applyNumberFormat="1" applyBorder="1"/>
    <xf numFmtId="165" fontId="0" fillId="0" borderId="0" xfId="0" applyNumberFormat="1"/>
    <xf numFmtId="14" fontId="0" fillId="0" borderId="1" xfId="0" applyNumberFormat="1" applyBorder="1" applyAlignment="1">
      <alignment horizontal="left"/>
    </xf>
    <xf numFmtId="0" fontId="0" fillId="0" borderId="1" xfId="0" applyBorder="1" applyAlignment="1">
      <alignment horizontal="left"/>
    </xf>
    <xf numFmtId="44" fontId="0" fillId="0" borderId="1" xfId="1" applyFont="1" applyBorder="1" applyAlignment="1">
      <alignment horizontal="left"/>
    </xf>
    <xf numFmtId="0" fontId="0" fillId="0" borderId="0" xfId="0" applyAlignment="1">
      <alignment horizontal="left"/>
    </xf>
    <xf numFmtId="0" fontId="3" fillId="0" borderId="0" xfId="0" applyFont="1" applyAlignment="1">
      <alignment horizontal="left"/>
    </xf>
    <xf numFmtId="44" fontId="0" fillId="0" borderId="0" xfId="1" applyFont="1"/>
    <xf numFmtId="164" fontId="0" fillId="0" borderId="0" xfId="0" applyNumberFormat="1"/>
    <xf numFmtId="9" fontId="0" fillId="0" borderId="1" xfId="2" applyFont="1" applyBorder="1"/>
    <xf numFmtId="9" fontId="0" fillId="0" borderId="0" xfId="2" applyFont="1"/>
    <xf numFmtId="44" fontId="0" fillId="0" borderId="1" xfId="1" quotePrefix="1" applyFont="1" applyBorder="1"/>
    <xf numFmtId="2" fontId="0" fillId="0" borderId="0" xfId="0" applyNumberFormat="1"/>
    <xf numFmtId="14" fontId="0" fillId="0" borderId="0" xfId="0" applyNumberFormat="1" applyAlignment="1">
      <alignment horizontal="left"/>
    </xf>
    <xf numFmtId="0" fontId="0" fillId="0" borderId="0" xfId="0" pivotButton="1"/>
    <xf numFmtId="14" fontId="0" fillId="0" borderId="0" xfId="0" applyNumberFormat="1"/>
    <xf numFmtId="44" fontId="0" fillId="0" borderId="1" xfId="0" applyNumberFormat="1" applyBorder="1"/>
    <xf numFmtId="0" fontId="0" fillId="0" borderId="0" xfId="0" applyAlignment="1">
      <alignment wrapText="1"/>
    </xf>
    <xf numFmtId="0" fontId="5" fillId="0" borderId="0" xfId="0" applyFont="1"/>
    <xf numFmtId="0" fontId="4" fillId="0" borderId="0" xfId="0" applyFont="1"/>
    <xf numFmtId="0" fontId="4" fillId="0" borderId="0" xfId="0" applyFont="1" applyAlignment="1">
      <alignment horizontal="center"/>
    </xf>
    <xf numFmtId="0" fontId="6" fillId="0" borderId="0" xfId="0" applyFont="1"/>
    <xf numFmtId="0" fontId="6" fillId="0" borderId="0" xfId="0" applyFont="1" applyAlignment="1">
      <alignment horizontal="center"/>
    </xf>
    <xf numFmtId="164" fontId="0" fillId="0" borderId="0" xfId="0" applyNumberFormat="1" applyAlignment="1">
      <alignment horizontal="left"/>
    </xf>
    <xf numFmtId="0" fontId="0" fillId="0" borderId="0" xfId="0" applyAlignment="1">
      <alignment vertical="top"/>
    </xf>
    <xf numFmtId="0" fontId="1" fillId="0" borderId="0" xfId="0" applyFont="1" applyAlignment="1">
      <alignment vertical="top"/>
    </xf>
    <xf numFmtId="0" fontId="1" fillId="0" borderId="0" xfId="0" applyFont="1"/>
    <xf numFmtId="0" fontId="10" fillId="3" borderId="1" xfId="0" applyFont="1" applyFill="1" applyBorder="1" applyAlignment="1">
      <alignment horizontal="center"/>
    </xf>
    <xf numFmtId="165" fontId="10" fillId="3" borderId="1" xfId="1" applyNumberFormat="1" applyFont="1" applyFill="1" applyBorder="1" applyAlignment="1">
      <alignment horizontal="center"/>
    </xf>
    <xf numFmtId="165" fontId="10" fillId="3" borderId="2" xfId="0" applyNumberFormat="1" applyFont="1" applyFill="1" applyBorder="1" applyAlignment="1">
      <alignment horizontal="center"/>
    </xf>
    <xf numFmtId="0" fontId="7" fillId="3" borderId="1" xfId="0" applyFont="1" applyFill="1" applyBorder="1"/>
    <xf numFmtId="0" fontId="7" fillId="3" borderId="1" xfId="0" applyFont="1" applyFill="1" applyBorder="1" applyAlignment="1">
      <alignment horizontal="left"/>
    </xf>
    <xf numFmtId="44" fontId="7" fillId="3" borderId="1" xfId="0" applyNumberFormat="1" applyFont="1" applyFill="1" applyBorder="1"/>
    <xf numFmtId="0" fontId="11" fillId="5" borderId="1" xfId="0" applyFont="1" applyFill="1" applyBorder="1"/>
    <xf numFmtId="0" fontId="7" fillId="4" borderId="1" xfId="0" applyFont="1" applyFill="1" applyBorder="1" applyAlignment="1">
      <alignment horizontal="left"/>
    </xf>
    <xf numFmtId="44" fontId="7" fillId="4" borderId="1" xfId="0" applyNumberFormat="1" applyFont="1" applyFill="1" applyBorder="1"/>
    <xf numFmtId="0" fontId="12" fillId="4" borderId="1" xfId="0" applyFont="1" applyFill="1" applyBorder="1" applyAlignment="1">
      <alignment horizontal="center"/>
    </xf>
    <xf numFmtId="165" fontId="12" fillId="4" borderId="1" xfId="0" applyNumberFormat="1" applyFont="1" applyFill="1" applyBorder="1" applyAlignment="1">
      <alignment horizontal="center"/>
    </xf>
    <xf numFmtId="165" fontId="12" fillId="4" borderId="1" xfId="1" applyNumberFormat="1" applyFont="1" applyFill="1" applyBorder="1" applyAlignment="1">
      <alignment horizontal="center"/>
    </xf>
    <xf numFmtId="44" fontId="12" fillId="4" borderId="1" xfId="1" applyFont="1" applyFill="1" applyBorder="1" applyAlignment="1">
      <alignment horizontal="center"/>
    </xf>
    <xf numFmtId="9" fontId="12" fillId="4" borderId="1" xfId="2" applyFont="1" applyFill="1" applyBorder="1" applyAlignment="1">
      <alignment horizontal="center"/>
    </xf>
    <xf numFmtId="0" fontId="11" fillId="5" borderId="1" xfId="0" applyFont="1" applyFill="1" applyBorder="1" applyAlignment="1">
      <alignment horizontal="center"/>
    </xf>
    <xf numFmtId="0" fontId="12" fillId="8" borderId="1" xfId="0" applyFont="1" applyFill="1" applyBorder="1" applyAlignment="1">
      <alignment horizontal="center"/>
    </xf>
    <xf numFmtId="0" fontId="11" fillId="9" borderId="1" xfId="0" applyFont="1" applyFill="1" applyBorder="1" applyAlignment="1">
      <alignment horizontal="center"/>
    </xf>
    <xf numFmtId="0" fontId="7" fillId="8" borderId="1" xfId="0" applyFont="1" applyFill="1" applyBorder="1"/>
    <xf numFmtId="0" fontId="7" fillId="8" borderId="1" xfId="0" applyFont="1" applyFill="1" applyBorder="1" applyAlignment="1">
      <alignment horizontal="left"/>
    </xf>
    <xf numFmtId="44" fontId="7" fillId="8" borderId="1" xfId="0" applyNumberFormat="1" applyFont="1" applyFill="1" applyBorder="1"/>
    <xf numFmtId="0" fontId="12" fillId="7" borderId="1" xfId="0" applyFont="1" applyFill="1" applyBorder="1"/>
    <xf numFmtId="44" fontId="12" fillId="7" borderId="1" xfId="0" applyNumberFormat="1" applyFont="1" applyFill="1" applyBorder="1"/>
    <xf numFmtId="0" fontId="12" fillId="9" borderId="1" xfId="0" applyFont="1" applyFill="1" applyBorder="1"/>
    <xf numFmtId="0" fontId="15" fillId="10" borderId="1" xfId="0" applyFont="1" applyFill="1" applyBorder="1" applyAlignment="1">
      <alignment horizontal="left"/>
    </xf>
    <xf numFmtId="44" fontId="15" fillId="10" borderId="1" xfId="0" applyNumberFormat="1" applyFont="1" applyFill="1" applyBorder="1"/>
    <xf numFmtId="44" fontId="12" fillId="8" borderId="1" xfId="1" applyFont="1" applyFill="1" applyBorder="1" applyAlignment="1">
      <alignment horizontal="center"/>
    </xf>
    <xf numFmtId="0" fontId="12" fillId="3" borderId="1" xfId="0" applyFont="1" applyFill="1" applyBorder="1" applyAlignment="1">
      <alignment horizontal="center"/>
    </xf>
    <xf numFmtId="44" fontId="12" fillId="3" borderId="1" xfId="1" applyFont="1" applyFill="1" applyBorder="1"/>
    <xf numFmtId="44" fontId="12" fillId="8" borderId="1" xfId="1" applyFont="1" applyFill="1" applyBorder="1"/>
    <xf numFmtId="0" fontId="13" fillId="11" borderId="5" xfId="0" applyFont="1" applyFill="1" applyBorder="1" applyAlignment="1">
      <alignment horizontal="center"/>
    </xf>
    <xf numFmtId="0" fontId="13" fillId="11" borderId="0" xfId="0" applyFont="1" applyFill="1" applyAlignment="1">
      <alignment horizontal="center"/>
    </xf>
    <xf numFmtId="0" fontId="14" fillId="3" borderId="1" xfId="0" applyFont="1" applyFill="1" applyBorder="1" applyAlignment="1">
      <alignment horizontal="center"/>
    </xf>
    <xf numFmtId="0" fontId="14" fillId="4" borderId="1" xfId="0" applyFont="1" applyFill="1" applyBorder="1" applyAlignment="1">
      <alignment horizontal="center"/>
    </xf>
    <xf numFmtId="0" fontId="14" fillId="8" borderId="1" xfId="0" applyFont="1" applyFill="1" applyBorder="1" applyAlignment="1">
      <alignment horizontal="center"/>
    </xf>
    <xf numFmtId="0" fontId="8" fillId="5" borderId="1" xfId="0" applyFont="1" applyFill="1" applyBorder="1" applyAlignment="1">
      <alignment horizontal="center"/>
    </xf>
    <xf numFmtId="0" fontId="7" fillId="5" borderId="1" xfId="0" applyFont="1" applyFill="1" applyBorder="1" applyAlignment="1">
      <alignment horizontal="center"/>
    </xf>
    <xf numFmtId="0" fontId="8" fillId="6" borderId="1" xfId="0" applyFont="1" applyFill="1" applyBorder="1" applyAlignment="1">
      <alignment horizontal="center"/>
    </xf>
    <xf numFmtId="0" fontId="7" fillId="6" borderId="1" xfId="0" applyFont="1" applyFill="1" applyBorder="1" applyAlignment="1">
      <alignment horizontal="center"/>
    </xf>
    <xf numFmtId="0" fontId="8" fillId="9" borderId="1" xfId="0" applyFont="1" applyFill="1" applyBorder="1" applyAlignment="1">
      <alignment horizontal="center"/>
    </xf>
    <xf numFmtId="0" fontId="9" fillId="9" borderId="1" xfId="0" applyFont="1" applyFill="1" applyBorder="1" applyAlignment="1">
      <alignment horizontal="center"/>
    </xf>
    <xf numFmtId="0" fontId="8" fillId="9" borderId="4" xfId="0" applyFont="1" applyFill="1" applyBorder="1" applyAlignment="1">
      <alignment horizontal="center"/>
    </xf>
    <xf numFmtId="0" fontId="8" fillId="9" borderId="2" xfId="0" applyFont="1" applyFill="1" applyBorder="1" applyAlignment="1">
      <alignment horizontal="center"/>
    </xf>
    <xf numFmtId="0" fontId="8" fillId="7" borderId="1" xfId="0" applyFont="1" applyFill="1" applyBorder="1" applyAlignment="1">
      <alignment horizontal="center"/>
    </xf>
    <xf numFmtId="44" fontId="12" fillId="4" borderId="1" xfId="1" applyFont="1" applyFill="1" applyBorder="1" applyAlignment="1">
      <alignment horizontal="center"/>
    </xf>
    <xf numFmtId="0" fontId="13" fillId="11" borderId="6" xfId="0" applyFont="1" applyFill="1" applyBorder="1" applyAlignment="1">
      <alignment horizontal="center"/>
    </xf>
    <xf numFmtId="0" fontId="12" fillId="4" borderId="4" xfId="0" applyFont="1" applyFill="1" applyBorder="1" applyAlignment="1">
      <alignment horizontal="center"/>
    </xf>
    <xf numFmtId="0" fontId="12" fillId="4" borderId="2" xfId="0" applyFont="1" applyFill="1" applyBorder="1" applyAlignment="1">
      <alignment horizontal="center"/>
    </xf>
    <xf numFmtId="0" fontId="12" fillId="4" borderId="1" xfId="0" applyFont="1" applyFill="1" applyBorder="1" applyAlignment="1">
      <alignment horizontal="center"/>
    </xf>
    <xf numFmtId="0" fontId="12" fillId="3" borderId="1" xfId="0" applyFont="1" applyFill="1" applyBorder="1" applyAlignment="1">
      <alignment horizontal="center"/>
    </xf>
    <xf numFmtId="0" fontId="12" fillId="8" borderId="1" xfId="0" applyFont="1" applyFill="1" applyBorder="1" applyAlignment="1">
      <alignment horizontal="center"/>
    </xf>
    <xf numFmtId="0" fontId="4" fillId="2" borderId="1" xfId="0" applyFont="1" applyFill="1" applyBorder="1" applyAlignment="1">
      <alignment horizontal="center" vertical="center"/>
    </xf>
    <xf numFmtId="14" fontId="4" fillId="2" borderId="4" xfId="0" applyNumberFormat="1" applyFont="1" applyFill="1" applyBorder="1" applyAlignment="1">
      <alignment horizontal="center" vertical="center"/>
    </xf>
    <xf numFmtId="14" fontId="4" fillId="2" borderId="2" xfId="0" applyNumberFormat="1" applyFont="1" applyFill="1" applyBorder="1" applyAlignment="1">
      <alignment horizontal="center" vertical="center"/>
    </xf>
    <xf numFmtId="0" fontId="11" fillId="3" borderId="1" xfId="0" applyFont="1" applyFill="1" applyBorder="1" applyAlignment="1">
      <alignment horizontal="center" vertical="center"/>
    </xf>
    <xf numFmtId="44" fontId="11" fillId="3" borderId="1" xfId="1" applyFont="1" applyFill="1" applyBorder="1" applyAlignment="1">
      <alignment vertical="center"/>
    </xf>
    <xf numFmtId="0" fontId="11" fillId="8" borderId="1" xfId="0" applyFont="1" applyFill="1" applyBorder="1" applyAlignment="1">
      <alignment horizontal="center" vertical="center"/>
    </xf>
    <xf numFmtId="44" fontId="11" fillId="8" borderId="1" xfId="1" applyFont="1" applyFill="1" applyBorder="1" applyAlignment="1">
      <alignment vertical="center"/>
    </xf>
    <xf numFmtId="0" fontId="11" fillId="4"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2" xfId="0" applyFont="1" applyFill="1" applyBorder="1" applyAlignment="1">
      <alignment horizontal="center" vertical="center"/>
    </xf>
  </cellXfs>
  <cellStyles count="3">
    <cellStyle name="Currency" xfId="1" builtinId="4"/>
    <cellStyle name="Normal" xfId="0" builtinId="0"/>
    <cellStyle name="Percent" xfId="2" builtinId="5"/>
  </cellStyles>
  <dxfs count="94">
    <dxf>
      <font>
        <b val="0"/>
      </font>
    </dxf>
    <dxf>
      <font>
        <b val="0"/>
      </font>
    </dxf>
    <dxf>
      <font>
        <color auto="1"/>
      </font>
    </dxf>
    <dxf>
      <fill>
        <patternFill>
          <bgColor theme="0"/>
        </patternFill>
      </fill>
    </dxf>
    <dxf>
      <font>
        <sz val="14"/>
      </font>
    </dxf>
    <dxf>
      <font>
        <sz val="14"/>
      </font>
    </dxf>
    <dxf>
      <font>
        <b/>
      </font>
    </dxf>
    <dxf>
      <font>
        <b/>
      </font>
    </dxf>
    <dxf>
      <font>
        <color theme="0"/>
      </font>
    </dxf>
    <dxf>
      <font>
        <color theme="0"/>
      </font>
    </dxf>
    <dxf>
      <fill>
        <patternFill>
          <bgColor theme="8"/>
        </patternFill>
      </fill>
    </dxf>
    <dxf>
      <fill>
        <patternFill>
          <bgColor theme="8"/>
        </patternFill>
      </fill>
    </dxf>
    <dxf>
      <font>
        <b/>
      </font>
    </dxf>
    <dxf>
      <font>
        <b/>
      </font>
    </dxf>
    <dxf>
      <font>
        <color theme="0"/>
      </font>
    </dxf>
    <dxf>
      <font>
        <color theme="0"/>
      </font>
    </dxf>
    <dxf>
      <fill>
        <patternFill>
          <bgColor theme="8" tint="-0.249977111117893"/>
        </patternFill>
      </fill>
    </dxf>
    <dxf>
      <fill>
        <patternFill>
          <bgColor theme="8" tint="-0.249977111117893"/>
        </patternFill>
      </fill>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sz val="14"/>
      </font>
    </dxf>
    <dxf>
      <font>
        <sz val="14"/>
      </font>
    </dxf>
    <dxf>
      <font>
        <color theme="0"/>
      </font>
    </dxf>
    <dxf>
      <font>
        <b/>
      </font>
    </dxf>
    <dxf>
      <fill>
        <patternFill>
          <bgColor theme="6"/>
        </patternFill>
      </fill>
    </dxf>
    <dxf>
      <font>
        <color theme="0"/>
      </font>
    </dxf>
    <dxf>
      <font>
        <color theme="0"/>
      </font>
    </dxf>
    <dxf>
      <font>
        <b/>
      </font>
    </dxf>
    <dxf>
      <font>
        <b/>
      </font>
    </dxf>
    <dxf>
      <fill>
        <patternFill>
          <bgColor theme="6" tint="-0.249977111117893"/>
        </patternFill>
      </fill>
    </dxf>
    <dxf>
      <fill>
        <patternFill>
          <bgColor theme="6"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numFmt numFmtId="34" formatCode="_(&quot;$&quot;* #,##0.00_);_(&quot;$&quot;* \(#,##0.00\);_(&quot;$&quot;* &quot;-&quot;??_);_(@_)"/>
    </dxf>
    <dxf>
      <numFmt numFmtId="34" formatCode="_(&quot;$&quot;* #,##0.00_);_(&quot;$&quot;* \(#,##0.00\);_(&quot;$&quot;* &quot;-&quot;??_);_(@_)"/>
    </dxf>
    <dxf>
      <font>
        <b val="0"/>
      </font>
    </dxf>
    <dxf>
      <font>
        <b val="0"/>
      </font>
    </dxf>
    <dxf>
      <font>
        <color auto="1"/>
      </font>
    </dxf>
    <dxf>
      <fill>
        <patternFill>
          <bgColor theme="0"/>
        </patternFill>
      </fill>
    </dxf>
    <dxf>
      <font>
        <color auto="1"/>
      </font>
    </dxf>
    <dxf>
      <fill>
        <patternFill>
          <bgColor theme="0"/>
        </patternFill>
      </fill>
    </dxf>
    <dxf>
      <fill>
        <patternFill>
          <bgColor theme="4" tint="-0.249977111117893"/>
        </patternFill>
      </fill>
    </dxf>
    <dxf>
      <fill>
        <patternFill>
          <bgColor theme="4" tint="-0.249977111117893"/>
        </patternFill>
      </fill>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numFmt numFmtId="34" formatCode="_(&quot;$&quot;* #,##0.00_);_(&quot;$&quot;* \(#,##0.00\);_(&quot;$&quot;* &quot;-&quot;??_);_(@_)"/>
    </dxf>
    <dxf>
      <numFmt numFmtId="34" formatCode="_(&quot;$&quot;* #,##0.00_);_(&quot;$&quot;* \(#,##0.00\);_(&quot;$&quot;* &quot;-&quot;??_);_(@_)"/>
    </dxf>
    <dxf>
      <numFmt numFmtId="0" formatCode="General"/>
    </dxf>
    <dxf>
      <numFmt numFmtId="0" formatCode="Genera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quot;$&quot;* #,##0.00_-;\-&quot;$&quot;* #,##0.00_-;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Planner.xlsm]Sheet2!PivotTable2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Income Distribution based on Sources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Sheet2!$A$4:$A$9</c:f>
              <c:strCache>
                <c:ptCount val="5"/>
                <c:pt idx="0">
                  <c:v>Co-op</c:v>
                </c:pt>
                <c:pt idx="1">
                  <c:v>Freelance</c:v>
                </c:pt>
                <c:pt idx="2">
                  <c:v>Grant</c:v>
                </c:pt>
                <c:pt idx="3">
                  <c:v>Part-time</c:v>
                </c:pt>
                <c:pt idx="4">
                  <c:v>(blank)</c:v>
                </c:pt>
              </c:strCache>
            </c:strRef>
          </c:cat>
          <c:val>
            <c:numRef>
              <c:f>Sheet2!$B$4:$B$9</c:f>
              <c:numCache>
                <c:formatCode>"$"#,##0.00</c:formatCode>
                <c:ptCount val="5"/>
                <c:pt idx="0">
                  <c:v>1000</c:v>
                </c:pt>
                <c:pt idx="1">
                  <c:v>500</c:v>
                </c:pt>
                <c:pt idx="2">
                  <c:v>1000</c:v>
                </c:pt>
                <c:pt idx="3">
                  <c:v>1250</c:v>
                </c:pt>
              </c:numCache>
            </c:numRef>
          </c:val>
          <c:extLst>
            <c:ext xmlns:c16="http://schemas.microsoft.com/office/drawing/2014/chart" uri="{C3380CC4-5D6E-409C-BE32-E72D297353CC}">
              <c16:uniqueId val="{00000000-F270-4B91-956D-CB99C5852830}"/>
            </c:ext>
          </c:extLst>
        </c:ser>
        <c:dLbls>
          <c:showLegendKey val="0"/>
          <c:showVal val="0"/>
          <c:showCatName val="0"/>
          <c:showSerName val="0"/>
          <c:showPercent val="0"/>
          <c:showBubbleSize val="0"/>
        </c:dLbls>
        <c:gapWidth val="219"/>
        <c:overlap val="-27"/>
        <c:axId val="697513136"/>
        <c:axId val="752608688"/>
      </c:barChart>
      <c:catAx>
        <c:axId val="69751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608688"/>
        <c:crosses val="autoZero"/>
        <c:auto val="1"/>
        <c:lblAlgn val="ctr"/>
        <c:lblOffset val="100"/>
        <c:noMultiLvlLbl val="0"/>
      </c:catAx>
      <c:valAx>
        <c:axId val="752608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513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[Financial Planner.xlsm]Income!PivotTable5</c:name>
    <c:fmtId val="2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Income Distribution by Source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Income!$O$2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Income!$N$3:$N$7</c:f>
              <c:strCache>
                <c:ptCount val="4"/>
                <c:pt idx="0">
                  <c:v>Co-op</c:v>
                </c:pt>
                <c:pt idx="1">
                  <c:v>Freelance</c:v>
                </c:pt>
                <c:pt idx="2">
                  <c:v>Grant</c:v>
                </c:pt>
                <c:pt idx="3">
                  <c:v>Part-time</c:v>
                </c:pt>
              </c:strCache>
            </c:strRef>
          </c:cat>
          <c:val>
            <c:numRef>
              <c:f>Income!$O$3:$O$7</c:f>
              <c:numCache>
                <c:formatCode>_("$"* #,##0.00_);_("$"* \(#,##0.00\);_("$"* "-"??_);_(@_)</c:formatCode>
                <c:ptCount val="4"/>
                <c:pt idx="0">
                  <c:v>1000</c:v>
                </c:pt>
                <c:pt idx="1">
                  <c:v>500</c:v>
                </c:pt>
                <c:pt idx="2">
                  <c:v>1000</c:v>
                </c:pt>
                <c:pt idx="3">
                  <c:v>1250</c:v>
                </c:pt>
              </c:numCache>
            </c:numRef>
          </c:val>
          <c:extLst>
            <c:ext xmlns:c16="http://schemas.microsoft.com/office/drawing/2014/chart" uri="{C3380CC4-5D6E-409C-BE32-E72D297353CC}">
              <c16:uniqueId val="{00000000-E7B4-4CB7-A623-83766FDE3D9D}"/>
            </c:ext>
          </c:extLst>
        </c:ser>
        <c:dLbls>
          <c:showLegendKey val="0"/>
          <c:showVal val="0"/>
          <c:showCatName val="0"/>
          <c:showSerName val="0"/>
          <c:showPercent val="0"/>
          <c:showBubbleSize val="0"/>
        </c:dLbls>
        <c:gapWidth val="100"/>
        <c:overlap val="-24"/>
        <c:axId val="900835072"/>
        <c:axId val="900835552"/>
      </c:barChart>
      <c:catAx>
        <c:axId val="9008350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900835552"/>
        <c:crosses val="autoZero"/>
        <c:auto val="1"/>
        <c:lblAlgn val="ctr"/>
        <c:lblOffset val="100"/>
        <c:noMultiLvlLbl val="0"/>
      </c:catAx>
      <c:valAx>
        <c:axId val="90083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00835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[Financial Planner.xlsm]Expenses!PivotTable2</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Expense distibution based on on Expense Catagory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Expenses!$L$20</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Expenses!$K$21:$K$25</c:f>
              <c:strCache>
                <c:ptCount val="4"/>
                <c:pt idx="0">
                  <c:v>Entertainment</c:v>
                </c:pt>
                <c:pt idx="1">
                  <c:v>Food on Campus</c:v>
                </c:pt>
                <c:pt idx="2">
                  <c:v>Groceries</c:v>
                </c:pt>
                <c:pt idx="3">
                  <c:v>Rent</c:v>
                </c:pt>
              </c:strCache>
            </c:strRef>
          </c:cat>
          <c:val>
            <c:numRef>
              <c:f>Expenses!$L$21:$L$25</c:f>
              <c:numCache>
                <c:formatCode>_("$"* #,##0.00_);_("$"* \(#,##0.00\);_("$"* "-"??_);_(@_)</c:formatCode>
                <c:ptCount val="4"/>
                <c:pt idx="0">
                  <c:v>23</c:v>
                </c:pt>
                <c:pt idx="1">
                  <c:v>56.09</c:v>
                </c:pt>
                <c:pt idx="2">
                  <c:v>25</c:v>
                </c:pt>
                <c:pt idx="3">
                  <c:v>700</c:v>
                </c:pt>
              </c:numCache>
            </c:numRef>
          </c:val>
          <c:extLst>
            <c:ext xmlns:c16="http://schemas.microsoft.com/office/drawing/2014/chart" uri="{C3380CC4-5D6E-409C-BE32-E72D297353CC}">
              <c16:uniqueId val="{00000000-1DDC-4BF3-82DB-5DD5806B9FDE}"/>
            </c:ext>
          </c:extLst>
        </c:ser>
        <c:dLbls>
          <c:showLegendKey val="0"/>
          <c:showVal val="0"/>
          <c:showCatName val="0"/>
          <c:showSerName val="0"/>
          <c:showPercent val="0"/>
          <c:showBubbleSize val="0"/>
        </c:dLbls>
        <c:gapWidth val="100"/>
        <c:overlap val="-24"/>
        <c:axId val="2088174208"/>
        <c:axId val="318205008"/>
      </c:barChart>
      <c:catAx>
        <c:axId val="208817420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18205008"/>
        <c:crosses val="autoZero"/>
        <c:auto val="1"/>
        <c:lblAlgn val="ctr"/>
        <c:lblOffset val="100"/>
        <c:noMultiLvlLbl val="0"/>
      </c:catAx>
      <c:valAx>
        <c:axId val="31820500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7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[Financial Planner.xlsm]Goals!PivotTable2</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Goal Progress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Goals!$L$4</c:f>
              <c:strCache>
                <c:ptCount val="1"/>
                <c:pt idx="0">
                  <c:v>Sum of Target Amount</c:v>
                </c:pt>
              </c:strCache>
            </c:strRef>
          </c:tx>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Goals!$K$5:$K$9</c:f>
              <c:strCache>
                <c:ptCount val="4"/>
                <c:pt idx="0">
                  <c:v>Save for Tuititon </c:v>
                </c:pt>
                <c:pt idx="1">
                  <c:v>Shopping</c:v>
                </c:pt>
                <c:pt idx="2">
                  <c:v>Birthday Present for Mom</c:v>
                </c:pt>
                <c:pt idx="3">
                  <c:v>Save for birthday dinner</c:v>
                </c:pt>
              </c:strCache>
            </c:strRef>
          </c:cat>
          <c:val>
            <c:numRef>
              <c:f>Goals!$L$5:$L$9</c:f>
              <c:numCache>
                <c:formatCode>_("$"* #,##0.00_);_("$"* \(#,##0.00\);_("$"* "-"??_);_(@_)</c:formatCode>
                <c:ptCount val="4"/>
                <c:pt idx="0">
                  <c:v>13000</c:v>
                </c:pt>
                <c:pt idx="1">
                  <c:v>400</c:v>
                </c:pt>
                <c:pt idx="2">
                  <c:v>78</c:v>
                </c:pt>
                <c:pt idx="3">
                  <c:v>100</c:v>
                </c:pt>
              </c:numCache>
            </c:numRef>
          </c:val>
          <c:extLst>
            <c:ext xmlns:c16="http://schemas.microsoft.com/office/drawing/2014/chart" uri="{C3380CC4-5D6E-409C-BE32-E72D297353CC}">
              <c16:uniqueId val="{00000000-5AA0-46C9-8848-1F233E4C488E}"/>
            </c:ext>
          </c:extLst>
        </c:ser>
        <c:ser>
          <c:idx val="1"/>
          <c:order val="1"/>
          <c:tx>
            <c:strRef>
              <c:f>Goals!$M$4</c:f>
              <c:strCache>
                <c:ptCount val="1"/>
                <c:pt idx="0">
                  <c:v>Sum of Amount Saved</c:v>
                </c:pt>
              </c:strCache>
            </c:strRef>
          </c:tx>
          <c:spPr>
            <a:gradFill rotWithShape="1">
              <a:gsLst>
                <a:gs pos="0">
                  <a:schemeClr val="accent5">
                    <a:tint val="77000"/>
                    <a:satMod val="103000"/>
                    <a:lumMod val="102000"/>
                    <a:tint val="94000"/>
                  </a:schemeClr>
                </a:gs>
                <a:gs pos="50000">
                  <a:schemeClr val="accent5">
                    <a:tint val="77000"/>
                    <a:satMod val="110000"/>
                    <a:lumMod val="100000"/>
                    <a:shade val="100000"/>
                  </a:schemeClr>
                </a:gs>
                <a:gs pos="100000">
                  <a:schemeClr val="accent5">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Goals!$K$5:$K$9</c:f>
              <c:strCache>
                <c:ptCount val="4"/>
                <c:pt idx="0">
                  <c:v>Save for Tuititon </c:v>
                </c:pt>
                <c:pt idx="1">
                  <c:v>Shopping</c:v>
                </c:pt>
                <c:pt idx="2">
                  <c:v>Birthday Present for Mom</c:v>
                </c:pt>
                <c:pt idx="3">
                  <c:v>Save for birthday dinner</c:v>
                </c:pt>
              </c:strCache>
            </c:strRef>
          </c:cat>
          <c:val>
            <c:numRef>
              <c:f>Goals!$M$5:$M$9</c:f>
              <c:numCache>
                <c:formatCode>_("$"* #,##0.00_);_("$"* \(#,##0.00\);_("$"* "-"??_);_(@_)</c:formatCode>
                <c:ptCount val="4"/>
                <c:pt idx="0">
                  <c:v>9800</c:v>
                </c:pt>
                <c:pt idx="1">
                  <c:v>134</c:v>
                </c:pt>
                <c:pt idx="2">
                  <c:v>67</c:v>
                </c:pt>
                <c:pt idx="3">
                  <c:v>60</c:v>
                </c:pt>
              </c:numCache>
            </c:numRef>
          </c:val>
          <c:extLst>
            <c:ext xmlns:c16="http://schemas.microsoft.com/office/drawing/2014/chart" uri="{C3380CC4-5D6E-409C-BE32-E72D297353CC}">
              <c16:uniqueId val="{00000001-5AA0-46C9-8848-1F233E4C488E}"/>
            </c:ext>
          </c:extLst>
        </c:ser>
        <c:dLbls>
          <c:showLegendKey val="0"/>
          <c:showVal val="0"/>
          <c:showCatName val="0"/>
          <c:showSerName val="0"/>
          <c:showPercent val="0"/>
          <c:showBubbleSize val="0"/>
        </c:dLbls>
        <c:gapWidth val="100"/>
        <c:overlap val="-24"/>
        <c:axId val="40722624"/>
        <c:axId val="40723104"/>
      </c:barChart>
      <c:catAx>
        <c:axId val="407226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0723104"/>
        <c:crosses val="autoZero"/>
        <c:auto val="1"/>
        <c:lblAlgn val="ctr"/>
        <c:lblOffset val="100"/>
        <c:noMultiLvlLbl val="0"/>
      </c:catAx>
      <c:valAx>
        <c:axId val="407231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22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Income Distribution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024-4D49-9C34-56ACF0C2E1CF}"/>
              </c:ext>
            </c:extLst>
          </c:dPt>
          <c:dPt>
            <c:idx val="1"/>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024-4D49-9C34-56ACF0C2E1CF}"/>
              </c:ext>
            </c:extLst>
          </c:dPt>
          <c:dPt>
            <c:idx val="2"/>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024-4D49-9C34-56ACF0C2E1CF}"/>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Income!$J$2:$J$4</c:f>
              <c:strCache>
                <c:ptCount val="3"/>
                <c:pt idx="0">
                  <c:v>Income Distribution</c:v>
                </c:pt>
                <c:pt idx="1">
                  <c:v>Savings/Investments</c:v>
                </c:pt>
                <c:pt idx="2">
                  <c:v>Spending</c:v>
                </c:pt>
              </c:strCache>
            </c:strRef>
          </c:cat>
          <c:val>
            <c:numRef>
              <c:f>Income!$K$2:$K$4</c:f>
              <c:numCache>
                <c:formatCode>0%</c:formatCode>
                <c:ptCount val="3"/>
                <c:pt idx="1">
                  <c:v>0.6</c:v>
                </c:pt>
                <c:pt idx="2">
                  <c:v>0.4</c:v>
                </c:pt>
              </c:numCache>
            </c:numRef>
          </c:val>
          <c:extLst>
            <c:ext xmlns:c16="http://schemas.microsoft.com/office/drawing/2014/chart" uri="{C3380CC4-5D6E-409C-BE32-E72D297353CC}">
              <c16:uniqueId val="{00000006-F024-4D49-9C34-56ACF0C2E1CF}"/>
            </c:ext>
          </c:extLst>
        </c:ser>
        <c:ser>
          <c:idx val="1"/>
          <c:order val="1"/>
          <c:dPt>
            <c:idx val="0"/>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F024-4D49-9C34-56ACF0C2E1CF}"/>
              </c:ext>
            </c:extLst>
          </c:dPt>
          <c:dPt>
            <c:idx val="1"/>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F024-4D49-9C34-56ACF0C2E1CF}"/>
              </c:ext>
            </c:extLst>
          </c:dPt>
          <c:dPt>
            <c:idx val="2"/>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F024-4D49-9C34-56ACF0C2E1C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Income!$J$2:$J$4</c:f>
              <c:strCache>
                <c:ptCount val="3"/>
                <c:pt idx="0">
                  <c:v>Income Distribution</c:v>
                </c:pt>
                <c:pt idx="1">
                  <c:v>Savings/Investments</c:v>
                </c:pt>
                <c:pt idx="2">
                  <c:v>Spending</c:v>
                </c:pt>
              </c:strCache>
            </c:strRef>
          </c:cat>
          <c:val>
            <c:numRef>
              <c:f>Income!$L$2:$L$4</c:f>
              <c:numCache>
                <c:formatCode>_("$"* #,##0.00_);_("$"* \(#,##0.00\);_("$"* "-"??_);_(@_)</c:formatCode>
                <c:ptCount val="3"/>
                <c:pt idx="1">
                  <c:v>2250</c:v>
                </c:pt>
                <c:pt idx="2">
                  <c:v>1500</c:v>
                </c:pt>
              </c:numCache>
            </c:numRef>
          </c:val>
          <c:extLst>
            <c:ext xmlns:c16="http://schemas.microsoft.com/office/drawing/2014/chart" uri="{C3380CC4-5D6E-409C-BE32-E72D297353CC}">
              <c16:uniqueId val="{0000000D-F024-4D49-9C34-56ACF0C2E1CF}"/>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Income Distribution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5E3-474D-ABB2-C074140CC395}"/>
              </c:ext>
            </c:extLst>
          </c:dPt>
          <c:dPt>
            <c:idx val="1"/>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5E3-474D-ABB2-C074140CC395}"/>
              </c:ext>
            </c:extLst>
          </c:dPt>
          <c:dPt>
            <c:idx val="2"/>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5E3-474D-ABB2-C074140CC395}"/>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Income!$J$2:$J$4</c:f>
              <c:strCache>
                <c:ptCount val="3"/>
                <c:pt idx="0">
                  <c:v>Income Distribution</c:v>
                </c:pt>
                <c:pt idx="1">
                  <c:v>Savings/Investments</c:v>
                </c:pt>
                <c:pt idx="2">
                  <c:v>Spending</c:v>
                </c:pt>
              </c:strCache>
            </c:strRef>
          </c:cat>
          <c:val>
            <c:numRef>
              <c:f>Income!$K$2:$K$4</c:f>
              <c:numCache>
                <c:formatCode>0%</c:formatCode>
                <c:ptCount val="3"/>
                <c:pt idx="1">
                  <c:v>0.6</c:v>
                </c:pt>
                <c:pt idx="2">
                  <c:v>0.4</c:v>
                </c:pt>
              </c:numCache>
            </c:numRef>
          </c:val>
          <c:extLst>
            <c:ext xmlns:c16="http://schemas.microsoft.com/office/drawing/2014/chart" uri="{C3380CC4-5D6E-409C-BE32-E72D297353CC}">
              <c16:uniqueId val="{00000000-8F90-4003-92C6-3C28F9A3DA05}"/>
            </c:ext>
          </c:extLst>
        </c:ser>
        <c:ser>
          <c:idx val="1"/>
          <c:order val="1"/>
          <c:dPt>
            <c:idx val="0"/>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5E3-474D-ABB2-C074140CC395}"/>
              </c:ext>
            </c:extLst>
          </c:dPt>
          <c:dPt>
            <c:idx val="1"/>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5E3-474D-ABB2-C074140CC395}"/>
              </c:ext>
            </c:extLst>
          </c:dPt>
          <c:dPt>
            <c:idx val="2"/>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5E3-474D-ABB2-C074140CC39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Income!$J$2:$J$4</c:f>
              <c:strCache>
                <c:ptCount val="3"/>
                <c:pt idx="0">
                  <c:v>Income Distribution</c:v>
                </c:pt>
                <c:pt idx="1">
                  <c:v>Savings/Investments</c:v>
                </c:pt>
                <c:pt idx="2">
                  <c:v>Spending</c:v>
                </c:pt>
              </c:strCache>
            </c:strRef>
          </c:cat>
          <c:val>
            <c:numRef>
              <c:f>Income!$L$2:$L$4</c:f>
              <c:numCache>
                <c:formatCode>_("$"* #,##0.00_);_("$"* \(#,##0.00\);_("$"* "-"??_);_(@_)</c:formatCode>
                <c:ptCount val="3"/>
                <c:pt idx="1">
                  <c:v>2250</c:v>
                </c:pt>
                <c:pt idx="2">
                  <c:v>1500</c:v>
                </c:pt>
              </c:numCache>
            </c:numRef>
          </c:val>
          <c:extLst>
            <c:ext xmlns:c16="http://schemas.microsoft.com/office/drawing/2014/chart" uri="{C3380CC4-5D6E-409C-BE32-E72D297353CC}">
              <c16:uniqueId val="{00000001-8F90-4003-92C6-3C28F9A3DA05}"/>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[Financial Planner.xlsm]Income!PivotTable5</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Income Distribution by Source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Income!$O$2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Income!$N$3:$N$7</c:f>
              <c:strCache>
                <c:ptCount val="4"/>
                <c:pt idx="0">
                  <c:v>Co-op</c:v>
                </c:pt>
                <c:pt idx="1">
                  <c:v>Freelance</c:v>
                </c:pt>
                <c:pt idx="2">
                  <c:v>Grant</c:v>
                </c:pt>
                <c:pt idx="3">
                  <c:v>Part-time</c:v>
                </c:pt>
              </c:strCache>
            </c:strRef>
          </c:cat>
          <c:val>
            <c:numRef>
              <c:f>Income!$O$3:$O$7</c:f>
              <c:numCache>
                <c:formatCode>_("$"* #,##0.00_);_("$"* \(#,##0.00\);_("$"* "-"??_);_(@_)</c:formatCode>
                <c:ptCount val="4"/>
                <c:pt idx="0">
                  <c:v>1000</c:v>
                </c:pt>
                <c:pt idx="1">
                  <c:v>500</c:v>
                </c:pt>
                <c:pt idx="2">
                  <c:v>1000</c:v>
                </c:pt>
                <c:pt idx="3">
                  <c:v>1250</c:v>
                </c:pt>
              </c:numCache>
            </c:numRef>
          </c:val>
          <c:extLst>
            <c:ext xmlns:c16="http://schemas.microsoft.com/office/drawing/2014/chart" uri="{C3380CC4-5D6E-409C-BE32-E72D297353CC}">
              <c16:uniqueId val="{00000000-1E13-437A-8A05-61F7D71F294E}"/>
            </c:ext>
          </c:extLst>
        </c:ser>
        <c:dLbls>
          <c:showLegendKey val="0"/>
          <c:showVal val="0"/>
          <c:showCatName val="0"/>
          <c:showSerName val="0"/>
          <c:showPercent val="0"/>
          <c:showBubbleSize val="0"/>
        </c:dLbls>
        <c:gapWidth val="100"/>
        <c:overlap val="-24"/>
        <c:axId val="900835072"/>
        <c:axId val="900835552"/>
      </c:barChart>
      <c:catAx>
        <c:axId val="9008350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900835552"/>
        <c:crosses val="autoZero"/>
        <c:auto val="1"/>
        <c:lblAlgn val="ctr"/>
        <c:lblOffset val="100"/>
        <c:noMultiLvlLbl val="0"/>
      </c:catAx>
      <c:valAx>
        <c:axId val="90083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00835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[Financial Planner.xlsm]Expenses!PivotTable2</c:name>
    <c:fmtId val="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Expense distibution based on on Expense Catagory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Expenses!$L$20</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Expenses!$K$21:$K$25</c:f>
              <c:strCache>
                <c:ptCount val="4"/>
                <c:pt idx="0">
                  <c:v>Entertainment</c:v>
                </c:pt>
                <c:pt idx="1">
                  <c:v>Food on Campus</c:v>
                </c:pt>
                <c:pt idx="2">
                  <c:v>Groceries</c:v>
                </c:pt>
                <c:pt idx="3">
                  <c:v>Rent</c:v>
                </c:pt>
              </c:strCache>
            </c:strRef>
          </c:cat>
          <c:val>
            <c:numRef>
              <c:f>Expenses!$L$21:$L$25</c:f>
              <c:numCache>
                <c:formatCode>_("$"* #,##0.00_);_("$"* \(#,##0.00\);_("$"* "-"??_);_(@_)</c:formatCode>
                <c:ptCount val="4"/>
                <c:pt idx="0">
                  <c:v>23</c:v>
                </c:pt>
                <c:pt idx="1">
                  <c:v>56.09</c:v>
                </c:pt>
                <c:pt idx="2">
                  <c:v>25</c:v>
                </c:pt>
                <c:pt idx="3">
                  <c:v>700</c:v>
                </c:pt>
              </c:numCache>
            </c:numRef>
          </c:val>
          <c:extLst>
            <c:ext xmlns:c16="http://schemas.microsoft.com/office/drawing/2014/chart" uri="{C3380CC4-5D6E-409C-BE32-E72D297353CC}">
              <c16:uniqueId val="{00000000-FE2F-4FDC-B738-2F4A8AE56191}"/>
            </c:ext>
          </c:extLst>
        </c:ser>
        <c:dLbls>
          <c:showLegendKey val="0"/>
          <c:showVal val="0"/>
          <c:showCatName val="0"/>
          <c:showSerName val="0"/>
          <c:showPercent val="0"/>
          <c:showBubbleSize val="0"/>
        </c:dLbls>
        <c:gapWidth val="100"/>
        <c:overlap val="-24"/>
        <c:axId val="2088174208"/>
        <c:axId val="318205008"/>
      </c:barChart>
      <c:catAx>
        <c:axId val="208817420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18205008"/>
        <c:crosses val="autoZero"/>
        <c:auto val="1"/>
        <c:lblAlgn val="ctr"/>
        <c:lblOffset val="100"/>
        <c:noMultiLvlLbl val="0"/>
      </c:catAx>
      <c:valAx>
        <c:axId val="31820500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74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[Financial Planner.xlsm]Goals!PivotTable2</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Goal Progress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Goals!$L$4</c:f>
              <c:strCache>
                <c:ptCount val="1"/>
                <c:pt idx="0">
                  <c:v>Sum of Target Amount</c:v>
                </c:pt>
              </c:strCache>
            </c:strRef>
          </c:tx>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Goals!$K$5:$K$9</c:f>
              <c:strCache>
                <c:ptCount val="4"/>
                <c:pt idx="0">
                  <c:v>Save for Tuititon </c:v>
                </c:pt>
                <c:pt idx="1">
                  <c:v>Shopping</c:v>
                </c:pt>
                <c:pt idx="2">
                  <c:v>Birthday Present for Mom</c:v>
                </c:pt>
                <c:pt idx="3">
                  <c:v>Save for birthday dinner</c:v>
                </c:pt>
              </c:strCache>
            </c:strRef>
          </c:cat>
          <c:val>
            <c:numRef>
              <c:f>Goals!$L$5:$L$9</c:f>
              <c:numCache>
                <c:formatCode>_("$"* #,##0.00_);_("$"* \(#,##0.00\);_("$"* "-"??_);_(@_)</c:formatCode>
                <c:ptCount val="4"/>
                <c:pt idx="0">
                  <c:v>13000</c:v>
                </c:pt>
                <c:pt idx="1">
                  <c:v>400</c:v>
                </c:pt>
                <c:pt idx="2">
                  <c:v>78</c:v>
                </c:pt>
                <c:pt idx="3">
                  <c:v>100</c:v>
                </c:pt>
              </c:numCache>
            </c:numRef>
          </c:val>
          <c:extLst>
            <c:ext xmlns:c16="http://schemas.microsoft.com/office/drawing/2014/chart" uri="{C3380CC4-5D6E-409C-BE32-E72D297353CC}">
              <c16:uniqueId val="{00000000-CA1A-4625-BF1C-EB09E92B5D43}"/>
            </c:ext>
          </c:extLst>
        </c:ser>
        <c:ser>
          <c:idx val="1"/>
          <c:order val="1"/>
          <c:tx>
            <c:strRef>
              <c:f>Goals!$M$4</c:f>
              <c:strCache>
                <c:ptCount val="1"/>
                <c:pt idx="0">
                  <c:v>Sum of Amount Saved</c:v>
                </c:pt>
              </c:strCache>
            </c:strRef>
          </c:tx>
          <c:spPr>
            <a:gradFill rotWithShape="1">
              <a:gsLst>
                <a:gs pos="0">
                  <a:schemeClr val="accent5">
                    <a:tint val="77000"/>
                    <a:satMod val="103000"/>
                    <a:lumMod val="102000"/>
                    <a:tint val="94000"/>
                  </a:schemeClr>
                </a:gs>
                <a:gs pos="50000">
                  <a:schemeClr val="accent5">
                    <a:tint val="77000"/>
                    <a:satMod val="110000"/>
                    <a:lumMod val="100000"/>
                    <a:shade val="100000"/>
                  </a:schemeClr>
                </a:gs>
                <a:gs pos="100000">
                  <a:schemeClr val="accent5">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Goals!$K$5:$K$9</c:f>
              <c:strCache>
                <c:ptCount val="4"/>
                <c:pt idx="0">
                  <c:v>Save for Tuititon </c:v>
                </c:pt>
                <c:pt idx="1">
                  <c:v>Shopping</c:v>
                </c:pt>
                <c:pt idx="2">
                  <c:v>Birthday Present for Mom</c:v>
                </c:pt>
                <c:pt idx="3">
                  <c:v>Save for birthday dinner</c:v>
                </c:pt>
              </c:strCache>
            </c:strRef>
          </c:cat>
          <c:val>
            <c:numRef>
              <c:f>Goals!$M$5:$M$9</c:f>
              <c:numCache>
                <c:formatCode>_("$"* #,##0.00_);_("$"* \(#,##0.00\);_("$"* "-"??_);_(@_)</c:formatCode>
                <c:ptCount val="4"/>
                <c:pt idx="0">
                  <c:v>9800</c:v>
                </c:pt>
                <c:pt idx="1">
                  <c:v>134</c:v>
                </c:pt>
                <c:pt idx="2">
                  <c:v>67</c:v>
                </c:pt>
                <c:pt idx="3">
                  <c:v>60</c:v>
                </c:pt>
              </c:numCache>
            </c:numRef>
          </c:val>
          <c:extLst>
            <c:ext xmlns:c16="http://schemas.microsoft.com/office/drawing/2014/chart" uri="{C3380CC4-5D6E-409C-BE32-E72D297353CC}">
              <c16:uniqueId val="{00000001-CA1A-4625-BF1C-EB09E92B5D43}"/>
            </c:ext>
          </c:extLst>
        </c:ser>
        <c:dLbls>
          <c:showLegendKey val="0"/>
          <c:showVal val="0"/>
          <c:showCatName val="0"/>
          <c:showSerName val="0"/>
          <c:showPercent val="0"/>
          <c:showBubbleSize val="0"/>
        </c:dLbls>
        <c:gapWidth val="100"/>
        <c:overlap val="-24"/>
        <c:axId val="40722624"/>
        <c:axId val="40723104"/>
      </c:barChart>
      <c:catAx>
        <c:axId val="407226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0723104"/>
        <c:crosses val="autoZero"/>
        <c:auto val="1"/>
        <c:lblAlgn val="ctr"/>
        <c:lblOffset val="100"/>
        <c:noMultiLvlLbl val="0"/>
      </c:catAx>
      <c:valAx>
        <c:axId val="407231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22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CA"/>
              <a:t>Monthly Expenses VS Spendings</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1"/>
          <c:order val="1"/>
          <c:spPr>
            <a:solidFill>
              <a:schemeClr val="accent4">
                <a:shade val="76000"/>
              </a:schemeClr>
            </a:solidFill>
            <a:ln>
              <a:noFill/>
            </a:ln>
            <a:effectLst/>
          </c:spPr>
          <c:invertIfNegative val="0"/>
          <c:cat>
            <c:strRef>
              <c:f>'Financial Summary and Advice'!$B$3:$B$4</c:f>
              <c:strCache>
                <c:ptCount val="2"/>
                <c:pt idx="0">
                  <c:v>Total Monthly Income</c:v>
                </c:pt>
                <c:pt idx="1">
                  <c:v>Total Monthly Spendings</c:v>
                </c:pt>
              </c:strCache>
            </c:strRef>
          </c:cat>
          <c:val>
            <c:numRef>
              <c:f>'Financial Summary and Advice'!$D$3:$D$4</c:f>
              <c:numCache>
                <c:formatCode>_("$"* #,##0.00_);_("$"* \(#,##0.00\);_("$"* "-"??_);_(@_)</c:formatCode>
                <c:ptCount val="2"/>
                <c:pt idx="0">
                  <c:v>3750</c:v>
                </c:pt>
                <c:pt idx="1">
                  <c:v>804.09</c:v>
                </c:pt>
              </c:numCache>
            </c:numRef>
          </c:val>
          <c:extLst>
            <c:ext xmlns:c16="http://schemas.microsoft.com/office/drawing/2014/chart" uri="{C3380CC4-5D6E-409C-BE32-E72D297353CC}">
              <c16:uniqueId val="{00000001-2AE8-4336-8112-FD9A55A0BCF2}"/>
            </c:ext>
          </c:extLst>
        </c:ser>
        <c:dLbls>
          <c:showLegendKey val="0"/>
          <c:showVal val="0"/>
          <c:showCatName val="0"/>
          <c:showSerName val="0"/>
          <c:showPercent val="0"/>
          <c:showBubbleSize val="0"/>
        </c:dLbls>
        <c:gapWidth val="199"/>
        <c:axId val="685016511"/>
        <c:axId val="685015071"/>
        <c:extLst>
          <c:ext xmlns:c15="http://schemas.microsoft.com/office/drawing/2012/chart" uri="{02D57815-91ED-43cb-92C2-25804820EDAC}">
            <c15:filteredBarSeries>
              <c15:ser>
                <c:idx val="0"/>
                <c:order val="0"/>
                <c:spPr>
                  <a:solidFill>
                    <a:schemeClr val="accent4">
                      <a:tint val="77000"/>
                    </a:schemeClr>
                  </a:solidFill>
                  <a:ln>
                    <a:noFill/>
                  </a:ln>
                  <a:effectLst/>
                </c:spPr>
                <c:invertIfNegative val="0"/>
                <c:cat>
                  <c:strRef>
                    <c:extLst>
                      <c:ext uri="{02D57815-91ED-43cb-92C2-25804820EDAC}">
                        <c15:formulaRef>
                          <c15:sqref>'Financial Summary and Advice'!$B$3:$B$4</c15:sqref>
                        </c15:formulaRef>
                      </c:ext>
                    </c:extLst>
                    <c:strCache>
                      <c:ptCount val="2"/>
                      <c:pt idx="0">
                        <c:v>Total Monthly Income</c:v>
                      </c:pt>
                      <c:pt idx="1">
                        <c:v>Total Monthly Spendings</c:v>
                      </c:pt>
                    </c:strCache>
                  </c:strRef>
                </c:cat>
                <c:val>
                  <c:numRef>
                    <c:extLst>
                      <c:ext uri="{02D57815-91ED-43cb-92C2-25804820EDAC}">
                        <c15:formulaRef>
                          <c15:sqref>'Financial Summary and Advice'!$C$3:$C$4</c15:sqref>
                        </c15:formulaRef>
                      </c:ext>
                    </c:extLst>
                    <c:numCache>
                      <c:formatCode>General</c:formatCode>
                      <c:ptCount val="2"/>
                    </c:numCache>
                  </c:numRef>
                </c:val>
                <c:extLst>
                  <c:ext xmlns:c16="http://schemas.microsoft.com/office/drawing/2014/chart" uri="{C3380CC4-5D6E-409C-BE32-E72D297353CC}">
                    <c16:uniqueId val="{00000000-2AE8-4336-8112-FD9A55A0BCF2}"/>
                  </c:ext>
                </c:extLst>
              </c15:ser>
            </c15:filteredBarSeries>
          </c:ext>
        </c:extLst>
      </c:barChart>
      <c:catAx>
        <c:axId val="68501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85015071"/>
        <c:crosses val="autoZero"/>
        <c:auto val="1"/>
        <c:lblAlgn val="ctr"/>
        <c:lblOffset val="100"/>
        <c:noMultiLvlLbl val="0"/>
      </c:catAx>
      <c:valAx>
        <c:axId val="68501507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0165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CA"/>
              <a:t>Greated Monthly Expense VS Income</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bar"/>
        <c:grouping val="clustered"/>
        <c:varyColors val="0"/>
        <c:ser>
          <c:idx val="2"/>
          <c:order val="2"/>
          <c:spPr>
            <a:solidFill>
              <a:schemeClr val="accent4">
                <a:tint val="65000"/>
              </a:schemeClr>
            </a:solidFill>
            <a:ln>
              <a:noFill/>
            </a:ln>
            <a:effectLst/>
          </c:spPr>
          <c:invertIfNegative val="0"/>
          <c:cat>
            <c:strRef>
              <c:f>'Financial Summary and Advice'!$F$3:$F$4</c:f>
              <c:strCache>
                <c:ptCount val="2"/>
                <c:pt idx="0">
                  <c:v>Greatest Monthly Income </c:v>
                </c:pt>
                <c:pt idx="1">
                  <c:v>Greatest Monthly Expense </c:v>
                </c:pt>
              </c:strCache>
            </c:strRef>
          </c:cat>
          <c:val>
            <c:numRef>
              <c:f>'Financial Summary and Advice'!$I$3:$I$4</c:f>
              <c:numCache>
                <c:formatCode>General</c:formatCode>
                <c:ptCount val="2"/>
                <c:pt idx="0">
                  <c:v>0</c:v>
                </c:pt>
                <c:pt idx="1">
                  <c:v>0</c:v>
                </c:pt>
              </c:numCache>
            </c:numRef>
          </c:val>
          <c:extLst>
            <c:ext xmlns:c16="http://schemas.microsoft.com/office/drawing/2014/chart" uri="{C3380CC4-5D6E-409C-BE32-E72D297353CC}">
              <c16:uniqueId val="{00000002-70FD-4B55-B875-49DFE19BD74B}"/>
            </c:ext>
          </c:extLst>
        </c:ser>
        <c:dLbls>
          <c:showLegendKey val="0"/>
          <c:showVal val="0"/>
          <c:showCatName val="0"/>
          <c:showSerName val="0"/>
          <c:showPercent val="0"/>
          <c:showBubbleSize val="0"/>
        </c:dLbls>
        <c:gapWidth val="269"/>
        <c:axId val="887877087"/>
        <c:axId val="887874207"/>
        <c:extLst>
          <c:ext xmlns:c15="http://schemas.microsoft.com/office/drawing/2012/chart" uri="{02D57815-91ED-43cb-92C2-25804820EDAC}">
            <c15:filteredBarSeries>
              <c15:ser>
                <c:idx val="0"/>
                <c:order val="0"/>
                <c:spPr>
                  <a:solidFill>
                    <a:schemeClr val="accent4">
                      <a:shade val="65000"/>
                    </a:schemeClr>
                  </a:solidFill>
                  <a:ln>
                    <a:noFill/>
                  </a:ln>
                  <a:effectLst/>
                </c:spPr>
                <c:invertIfNegative val="0"/>
                <c:cat>
                  <c:strRef>
                    <c:extLst>
                      <c:ext uri="{02D57815-91ED-43cb-92C2-25804820EDAC}">
                        <c15:formulaRef>
                          <c15:sqref>'Financial Summary and Advice'!$F$3:$F$4</c15:sqref>
                        </c15:formulaRef>
                      </c:ext>
                    </c:extLst>
                    <c:strCache>
                      <c:ptCount val="2"/>
                      <c:pt idx="0">
                        <c:v>Greatest Monthly Income </c:v>
                      </c:pt>
                      <c:pt idx="1">
                        <c:v>Greatest Monthly Expense </c:v>
                      </c:pt>
                    </c:strCache>
                  </c:strRef>
                </c:cat>
                <c:val>
                  <c:numRef>
                    <c:extLst>
                      <c:ext uri="{02D57815-91ED-43cb-92C2-25804820EDAC}">
                        <c15:formulaRef>
                          <c15:sqref>'Financial Summary and Advice'!$G$3:$G$4</c15:sqref>
                        </c15:formulaRef>
                      </c:ext>
                    </c:extLst>
                    <c:numCache>
                      <c:formatCode>General</c:formatCode>
                      <c:ptCount val="2"/>
                    </c:numCache>
                  </c:numRef>
                </c:val>
                <c:extLst>
                  <c:ext xmlns:c16="http://schemas.microsoft.com/office/drawing/2014/chart" uri="{C3380CC4-5D6E-409C-BE32-E72D297353CC}">
                    <c16:uniqueId val="{00000000-70FD-4B55-B875-49DFE19BD74B}"/>
                  </c:ext>
                </c:extLst>
              </c15:ser>
            </c15:filteredBarSeries>
          </c:ext>
        </c:extLst>
      </c:barChart>
      <c:barChart>
        <c:barDir val="bar"/>
        <c:grouping val="clustered"/>
        <c:varyColors val="0"/>
        <c:ser>
          <c:idx val="1"/>
          <c:order val="1"/>
          <c:spPr>
            <a:solidFill>
              <a:schemeClr val="accent4"/>
            </a:solidFill>
            <a:ln>
              <a:noFill/>
            </a:ln>
            <a:effectLst/>
          </c:spPr>
          <c:invertIfNegative val="0"/>
          <c:cat>
            <c:strRef>
              <c:f>'Financial Summary and Advice'!$F$3:$F$4</c:f>
              <c:strCache>
                <c:ptCount val="2"/>
                <c:pt idx="0">
                  <c:v>Greatest Monthly Income </c:v>
                </c:pt>
                <c:pt idx="1">
                  <c:v>Greatest Monthly Expense </c:v>
                </c:pt>
              </c:strCache>
            </c:strRef>
          </c:cat>
          <c:val>
            <c:numRef>
              <c:f>'Financial Summary and Advice'!$H$3:$H$4</c:f>
              <c:numCache>
                <c:formatCode>_("$"* #,##0.00_);_("$"* \(#,##0.00\);_("$"* "-"??_);_(@_)</c:formatCode>
                <c:ptCount val="2"/>
                <c:pt idx="0">
                  <c:v>1250</c:v>
                </c:pt>
                <c:pt idx="1">
                  <c:v>700</c:v>
                </c:pt>
              </c:numCache>
            </c:numRef>
          </c:val>
          <c:extLst>
            <c:ext xmlns:c16="http://schemas.microsoft.com/office/drawing/2014/chart" uri="{C3380CC4-5D6E-409C-BE32-E72D297353CC}">
              <c16:uniqueId val="{00000001-70FD-4B55-B875-49DFE19BD74B}"/>
            </c:ext>
          </c:extLst>
        </c:ser>
        <c:dLbls>
          <c:showLegendKey val="0"/>
          <c:showVal val="0"/>
          <c:showCatName val="0"/>
          <c:showSerName val="0"/>
          <c:showPercent val="0"/>
          <c:showBubbleSize val="0"/>
        </c:dLbls>
        <c:gapWidth val="269"/>
        <c:axId val="292637327"/>
        <c:axId val="292639727"/>
      </c:barChart>
      <c:catAx>
        <c:axId val="88787708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887874207"/>
        <c:crosses val="autoZero"/>
        <c:auto val="1"/>
        <c:lblAlgn val="ctr"/>
        <c:lblOffset val="100"/>
        <c:noMultiLvlLbl val="0"/>
      </c:catAx>
      <c:valAx>
        <c:axId val="88787420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877087"/>
        <c:crosses val="autoZero"/>
        <c:crossBetween val="between"/>
      </c:valAx>
      <c:valAx>
        <c:axId val="292639727"/>
        <c:scaling>
          <c:orientation val="minMax"/>
        </c:scaling>
        <c:delete val="0"/>
        <c:axPos val="t"/>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637327"/>
        <c:crosses val="max"/>
        <c:crossBetween val="between"/>
      </c:valAx>
      <c:catAx>
        <c:axId val="292637327"/>
        <c:scaling>
          <c:orientation val="minMax"/>
        </c:scaling>
        <c:delete val="1"/>
        <c:axPos val="l"/>
        <c:numFmt formatCode="General" sourceLinked="1"/>
        <c:majorTickMark val="out"/>
        <c:minorTickMark val="none"/>
        <c:tickLblPos val="nextTo"/>
        <c:crossAx val="292639727"/>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CA"/>
              <a:t>Target Amount VS Saved Amount </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1"/>
          <c:order val="1"/>
          <c:spPr>
            <a:solidFill>
              <a:schemeClr val="accent4"/>
            </a:solidFill>
            <a:ln>
              <a:noFill/>
            </a:ln>
            <a:effectLst/>
          </c:spPr>
          <c:invertIfNegative val="0"/>
          <c:cat>
            <c:strRef>
              <c:f>'Financial Summary and Advice'!$P$3:$P$4</c:f>
              <c:strCache>
                <c:ptCount val="2"/>
                <c:pt idx="0">
                  <c:v>Amount Saved</c:v>
                </c:pt>
                <c:pt idx="1">
                  <c:v>Target Amount </c:v>
                </c:pt>
              </c:strCache>
            </c:strRef>
          </c:cat>
          <c:val>
            <c:numRef>
              <c:f>'Financial Summary and Advice'!$R$3:$R$4</c:f>
              <c:numCache>
                <c:formatCode>_("$"* #,##0.00_);_("$"* \(#,##0.00\);_("$"* "-"??_);_(@_)</c:formatCode>
                <c:ptCount val="2"/>
                <c:pt idx="0">
                  <c:v>67</c:v>
                </c:pt>
                <c:pt idx="1">
                  <c:v>78</c:v>
                </c:pt>
              </c:numCache>
            </c:numRef>
          </c:val>
          <c:extLst>
            <c:ext xmlns:c16="http://schemas.microsoft.com/office/drawing/2014/chart" uri="{C3380CC4-5D6E-409C-BE32-E72D297353CC}">
              <c16:uniqueId val="{00000001-1D36-4878-8FC3-9485AADC7788}"/>
            </c:ext>
          </c:extLst>
        </c:ser>
        <c:dLbls>
          <c:showLegendKey val="0"/>
          <c:showVal val="0"/>
          <c:showCatName val="0"/>
          <c:showSerName val="0"/>
          <c:showPercent val="0"/>
          <c:showBubbleSize val="0"/>
        </c:dLbls>
        <c:gapWidth val="199"/>
        <c:axId val="888277519"/>
        <c:axId val="888277039"/>
        <c:extLst>
          <c:ext xmlns:c15="http://schemas.microsoft.com/office/drawing/2012/chart" uri="{02D57815-91ED-43cb-92C2-25804820EDAC}">
            <c15:filteredBarSeries>
              <c15:ser>
                <c:idx val="0"/>
                <c:order val="0"/>
                <c:spPr>
                  <a:solidFill>
                    <a:schemeClr val="accent4">
                      <a:tint val="65000"/>
                    </a:schemeClr>
                  </a:solidFill>
                  <a:ln>
                    <a:noFill/>
                  </a:ln>
                  <a:effectLst/>
                </c:spPr>
                <c:invertIfNegative val="0"/>
                <c:cat>
                  <c:strRef>
                    <c:extLst>
                      <c:ext uri="{02D57815-91ED-43cb-92C2-25804820EDAC}">
                        <c15:formulaRef>
                          <c15:sqref>'Financial Summary and Advice'!$P$3:$P$4</c15:sqref>
                        </c15:formulaRef>
                      </c:ext>
                    </c:extLst>
                    <c:strCache>
                      <c:ptCount val="2"/>
                      <c:pt idx="0">
                        <c:v>Amount Saved</c:v>
                      </c:pt>
                      <c:pt idx="1">
                        <c:v>Target Amount </c:v>
                      </c:pt>
                    </c:strCache>
                  </c:strRef>
                </c:cat>
                <c:val>
                  <c:numRef>
                    <c:extLst>
                      <c:ext uri="{02D57815-91ED-43cb-92C2-25804820EDAC}">
                        <c15:formulaRef>
                          <c15:sqref>'Financial Summary and Advice'!$Q$3:$Q$4</c15:sqref>
                        </c15:formulaRef>
                      </c:ext>
                    </c:extLst>
                    <c:numCache>
                      <c:formatCode>General</c:formatCode>
                      <c:ptCount val="2"/>
                    </c:numCache>
                  </c:numRef>
                </c:val>
                <c:extLst>
                  <c:ext xmlns:c16="http://schemas.microsoft.com/office/drawing/2014/chart" uri="{C3380CC4-5D6E-409C-BE32-E72D297353CC}">
                    <c16:uniqueId val="{00000000-1D36-4878-8FC3-9485AADC7788}"/>
                  </c:ext>
                </c:extLst>
              </c15:ser>
            </c15:filteredBarSeries>
            <c15:filteredBarSeries>
              <c15:ser>
                <c:idx val="2"/>
                <c:order val="2"/>
                <c:spPr>
                  <a:solidFill>
                    <a:schemeClr val="accent4">
                      <a:shade val="65000"/>
                    </a:schemeClr>
                  </a:solidFill>
                  <a:ln>
                    <a:noFill/>
                  </a:ln>
                  <a:effectLst/>
                </c:spPr>
                <c:invertIfNegative val="0"/>
                <c:cat>
                  <c:strRef>
                    <c:extLst xmlns:c15="http://schemas.microsoft.com/office/drawing/2012/chart">
                      <c:ext xmlns:c15="http://schemas.microsoft.com/office/drawing/2012/chart" uri="{02D57815-91ED-43cb-92C2-25804820EDAC}">
                        <c15:formulaRef>
                          <c15:sqref>'Financial Summary and Advice'!$P$3:$P$4</c15:sqref>
                        </c15:formulaRef>
                      </c:ext>
                    </c:extLst>
                    <c:strCache>
                      <c:ptCount val="2"/>
                      <c:pt idx="0">
                        <c:v>Amount Saved</c:v>
                      </c:pt>
                      <c:pt idx="1">
                        <c:v>Target Amount </c:v>
                      </c:pt>
                    </c:strCache>
                  </c:strRef>
                </c:cat>
                <c:val>
                  <c:numRef>
                    <c:extLst xmlns:c15="http://schemas.microsoft.com/office/drawing/2012/chart">
                      <c:ext xmlns:c15="http://schemas.microsoft.com/office/drawing/2012/chart" uri="{02D57815-91ED-43cb-92C2-25804820EDAC}">
                        <c15:formulaRef>
                          <c15:sqref>'Financial Summary and Advice'!$S$3:$S$4</c15:sqref>
                        </c15:formulaRef>
                      </c:ext>
                    </c:extLst>
                    <c:numCache>
                      <c:formatCode>_("$"* #,##0.00_);_("$"* \(#,##0.00\);_("$"* "-"??_);_(@_)</c:formatCode>
                      <c:ptCount val="2"/>
                    </c:numCache>
                  </c:numRef>
                </c:val>
                <c:extLst xmlns:c15="http://schemas.microsoft.com/office/drawing/2012/chart">
                  <c:ext xmlns:c16="http://schemas.microsoft.com/office/drawing/2014/chart" uri="{C3380CC4-5D6E-409C-BE32-E72D297353CC}">
                    <c16:uniqueId val="{00000002-1D36-4878-8FC3-9485AADC7788}"/>
                  </c:ext>
                </c:extLst>
              </c15:ser>
            </c15:filteredBarSeries>
          </c:ext>
        </c:extLst>
      </c:barChart>
      <c:catAx>
        <c:axId val="88827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888277039"/>
        <c:crosses val="autoZero"/>
        <c:auto val="1"/>
        <c:lblAlgn val="ctr"/>
        <c:lblOffset val="100"/>
        <c:noMultiLvlLbl val="0"/>
      </c:catAx>
      <c:valAx>
        <c:axId val="8882770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827751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Reversed" id="23">
  <a:schemeClr val="accent3"/>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withinLinearReversed" id="24">
  <a:schemeClr val="accent4"/>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chart" Target="../charts/chart5.xml"/><Relationship Id="rId2" Type="http://schemas.openxmlformats.org/officeDocument/2006/relationships/image" Target="../media/image1.png"/><Relationship Id="rId1" Type="http://schemas.microsoft.com/office/2011/relationships/webextension" Target="../webextensions/webextension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430530</xdr:colOff>
      <xdr:row>1</xdr:row>
      <xdr:rowOff>179070</xdr:rowOff>
    </xdr:from>
    <xdr:to>
      <xdr:col>9</xdr:col>
      <xdr:colOff>308610</xdr:colOff>
      <xdr:row>15</xdr:row>
      <xdr:rowOff>148590</xdr:rowOff>
    </xdr:to>
    <xdr:graphicFrame macro="">
      <xdr:nvGraphicFramePr>
        <xdr:cNvPr id="2" name="Chart 1">
          <a:extLst>
            <a:ext uri="{FF2B5EF4-FFF2-40B4-BE49-F238E27FC236}">
              <a16:creationId xmlns:a16="http://schemas.microsoft.com/office/drawing/2014/main" id="{D7B34AB2-330A-F028-AF90-4C2B5130D0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8</xdr:row>
      <xdr:rowOff>0</xdr:rowOff>
    </xdr:from>
    <xdr:ext cx="304800" cy="307647"/>
    <xdr:sp macro="" textlink="">
      <xdr:nvSpPr>
        <xdr:cNvPr id="2"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FE5E027F-0158-42C0-966F-776E3C93E7B1}"/>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xdr:row>
      <xdr:rowOff>0</xdr:rowOff>
    </xdr:from>
    <xdr:ext cx="304800" cy="307647"/>
    <xdr:sp macro="" textlink="">
      <xdr:nvSpPr>
        <xdr:cNvPr id="3"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AB62C21E-7BB8-408C-BFF7-4E0DC3BF0ED7}"/>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xdr:row>
      <xdr:rowOff>0</xdr:rowOff>
    </xdr:from>
    <xdr:ext cx="304800" cy="307647"/>
    <xdr:sp macro="" textlink="">
      <xdr:nvSpPr>
        <xdr:cNvPr id="4"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B6D27973-FB77-4723-9548-B1923EF71CFA}"/>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xdr:row>
      <xdr:rowOff>0</xdr:rowOff>
    </xdr:from>
    <xdr:ext cx="304800" cy="307647"/>
    <xdr:sp macro="" textlink="">
      <xdr:nvSpPr>
        <xdr:cNvPr id="5"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ACD13DBE-3CEF-4FA5-98CD-472CBE787028}"/>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xdr:row>
      <xdr:rowOff>0</xdr:rowOff>
    </xdr:from>
    <xdr:ext cx="304800" cy="307647"/>
    <xdr:sp macro="" textlink="">
      <xdr:nvSpPr>
        <xdr:cNvPr id="6"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875E7B02-2495-47EB-B5B3-08A1EE170D9E}"/>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xdr:row>
      <xdr:rowOff>0</xdr:rowOff>
    </xdr:from>
    <xdr:ext cx="304800" cy="307647"/>
    <xdr:sp macro="" textlink="">
      <xdr:nvSpPr>
        <xdr:cNvPr id="7"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99D57A44-72CD-4985-849C-23B50B8B4F20}"/>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xdr:row>
      <xdr:rowOff>0</xdr:rowOff>
    </xdr:from>
    <xdr:ext cx="304800" cy="307647"/>
    <xdr:sp macro="" textlink="">
      <xdr:nvSpPr>
        <xdr:cNvPr id="8"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38682FBC-385F-4F57-8281-9605AA7C6C41}"/>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xdr:row>
      <xdr:rowOff>0</xdr:rowOff>
    </xdr:from>
    <xdr:ext cx="304800" cy="307647"/>
    <xdr:sp macro="" textlink="">
      <xdr:nvSpPr>
        <xdr:cNvPr id="9"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DB337C02-F044-470B-A8D5-5D23E2B5177C}"/>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xdr:row>
      <xdr:rowOff>0</xdr:rowOff>
    </xdr:from>
    <xdr:ext cx="304800" cy="307647"/>
    <xdr:sp macro="" textlink="">
      <xdr:nvSpPr>
        <xdr:cNvPr id="10"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CF7A85DC-6FE1-4BBA-B540-A9DC47B2202D}"/>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xdr:row>
      <xdr:rowOff>0</xdr:rowOff>
    </xdr:from>
    <xdr:ext cx="304800" cy="307647"/>
    <xdr:sp macro="" textlink="">
      <xdr:nvSpPr>
        <xdr:cNvPr id="11"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8C40B246-147B-4533-AC4A-F0CEB0B66654}"/>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xdr:row>
      <xdr:rowOff>0</xdr:rowOff>
    </xdr:from>
    <xdr:ext cx="304800" cy="307647"/>
    <xdr:sp macro="" textlink="">
      <xdr:nvSpPr>
        <xdr:cNvPr id="12" name="AutoShape 2" descr="Create a friendly, approachable animal mascot for a financial planner. The mascot should be a wise owl with glasses, wearing a small green necktie or scarf to signify financial wisdom. The owl should have a friendly expression, sitting on a branch, and holding a tiny notepad or calculator. Background should be minimal and light to keep the focus on the mascot. The design should be modern and cute, appealing to young adults, with soft colors like pastel greens and blues.">
          <a:extLst>
            <a:ext uri="{FF2B5EF4-FFF2-40B4-BE49-F238E27FC236}">
              <a16:creationId xmlns:a16="http://schemas.microsoft.com/office/drawing/2014/main" id="{B99B0299-1650-4D5B-A374-AE8C90A84986}"/>
            </a:ext>
          </a:extLst>
        </xdr:cNvPr>
        <xdr:cNvSpPr>
          <a:spLocks noChangeAspect="1" noChangeArrowheads="1"/>
        </xdr:cNvSpPr>
      </xdr:nvSpPr>
      <xdr:spPr bwMode="auto">
        <a:xfrm>
          <a:off x="0" y="770374"/>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1</xdr:col>
      <xdr:colOff>0</xdr:colOff>
      <xdr:row>9</xdr:row>
      <xdr:rowOff>0</xdr:rowOff>
    </xdr:from>
    <xdr:to>
      <xdr:col>1</xdr:col>
      <xdr:colOff>304800</xdr:colOff>
      <xdr:row>10</xdr:row>
      <xdr:rowOff>99353</xdr:rowOff>
    </xdr:to>
    <xdr:sp macro="" textlink="">
      <xdr:nvSpPr>
        <xdr:cNvPr id="4102" name="AutoShape 6" descr="Create a friendly, approachable owl mascot for a financial planner with a blue color palette and no background. The owl should be wearing glasses and a small blue scarf or tie to signify financial wisdom. It should have a friendly expression and hold a tiny notepad or calculator. The design should be modern, cute, and appealing to young adults, with soft blue tones.">
          <a:extLst>
            <a:ext uri="{FF2B5EF4-FFF2-40B4-BE49-F238E27FC236}">
              <a16:creationId xmlns:a16="http://schemas.microsoft.com/office/drawing/2014/main" id="{E14EF6AD-08D9-FF48-C2C2-03537FB3D00A}"/>
            </a:ext>
          </a:extLst>
        </xdr:cNvPr>
        <xdr:cNvSpPr>
          <a:spLocks noChangeAspect="1" noChangeArrowheads="1"/>
        </xdr:cNvSpPr>
      </xdr:nvSpPr>
      <xdr:spPr bwMode="auto">
        <a:xfrm>
          <a:off x="838200" y="11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2</xdr:col>
      <xdr:colOff>0</xdr:colOff>
      <xdr:row>9</xdr:row>
      <xdr:rowOff>0</xdr:rowOff>
    </xdr:from>
    <xdr:ext cx="304800" cy="307647"/>
    <xdr:sp macro="" textlink="">
      <xdr:nvSpPr>
        <xdr:cNvPr id="15" name="AutoShape 6" descr="Create a friendly, approachable owl mascot for a financial planner with a blue color palette and no background. The owl should be wearing glasses and a small blue scarf or tie to signify financial wisdom. It should have a friendly expression and hold a tiny notepad or calculator. The design should be modern, cute, and appealing to young adults, with soft blue tones.">
          <a:extLst>
            <a:ext uri="{FF2B5EF4-FFF2-40B4-BE49-F238E27FC236}">
              <a16:creationId xmlns:a16="http://schemas.microsoft.com/office/drawing/2014/main" id="{1597BCB5-1E50-429A-8EA8-2712C5E5EA69}"/>
            </a:ext>
          </a:extLst>
        </xdr:cNvPr>
        <xdr:cNvSpPr>
          <a:spLocks noChangeAspect="1" noChangeArrowheads="1"/>
        </xdr:cNvSpPr>
      </xdr:nvSpPr>
      <xdr:spPr bwMode="auto">
        <a:xfrm>
          <a:off x="837363" y="1172308"/>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9</xdr:row>
      <xdr:rowOff>0</xdr:rowOff>
    </xdr:from>
    <xdr:ext cx="304800" cy="307647"/>
    <xdr:sp macro="" textlink="">
      <xdr:nvSpPr>
        <xdr:cNvPr id="16" name="AutoShape 6" descr="Create a friendly, approachable owl mascot for a financial planner with a blue color palette and no background. The owl should be wearing glasses and a small blue scarf or tie to signify financial wisdom. It should have a friendly expression and hold a tiny notepad or calculator. The design should be modern, cute, and appealing to young adults, with soft blue tones.">
          <a:extLst>
            <a:ext uri="{FF2B5EF4-FFF2-40B4-BE49-F238E27FC236}">
              <a16:creationId xmlns:a16="http://schemas.microsoft.com/office/drawing/2014/main" id="{415A74D1-02C6-432A-A5DA-EE82569AA82F}"/>
            </a:ext>
          </a:extLst>
        </xdr:cNvPr>
        <xdr:cNvSpPr>
          <a:spLocks noChangeAspect="1" noChangeArrowheads="1"/>
        </xdr:cNvSpPr>
      </xdr:nvSpPr>
      <xdr:spPr bwMode="auto">
        <a:xfrm>
          <a:off x="837363" y="1172308"/>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9</xdr:row>
      <xdr:rowOff>0</xdr:rowOff>
    </xdr:from>
    <xdr:ext cx="304800" cy="307647"/>
    <xdr:sp macro="" textlink="">
      <xdr:nvSpPr>
        <xdr:cNvPr id="17" name="AutoShape 6" descr="Create a friendly, approachable owl mascot for a financial planner with a blue color palette and no background. The owl should be wearing glasses and a small blue scarf or tie to signify financial wisdom. It should have a friendly expression and hold a tiny notepad or calculator. The design should be modern, cute, and appealing to young adults, with soft blue tones.">
          <a:extLst>
            <a:ext uri="{FF2B5EF4-FFF2-40B4-BE49-F238E27FC236}">
              <a16:creationId xmlns:a16="http://schemas.microsoft.com/office/drawing/2014/main" id="{8CF9A22E-26EA-4D43-925F-397DEC8322D7}"/>
            </a:ext>
          </a:extLst>
        </xdr:cNvPr>
        <xdr:cNvSpPr>
          <a:spLocks noChangeAspect="1" noChangeArrowheads="1"/>
        </xdr:cNvSpPr>
      </xdr:nvSpPr>
      <xdr:spPr bwMode="auto">
        <a:xfrm>
          <a:off x="837363" y="1172308"/>
          <a:ext cx="304800" cy="30764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6</xdr:col>
      <xdr:colOff>327513</xdr:colOff>
      <xdr:row>1</xdr:row>
      <xdr:rowOff>66841</xdr:rowOff>
    </xdr:from>
    <xdr:to>
      <xdr:col>8</xdr:col>
      <xdr:colOff>721895</xdr:colOff>
      <xdr:row>6</xdr:row>
      <xdr:rowOff>187157</xdr:rowOff>
    </xdr:to>
    <mc:AlternateContent xmlns:mc="http://schemas.openxmlformats.org/markup-compatibility/2006">
      <mc:Choice xmlns:we="http://schemas.microsoft.com/office/webextensions/webextension/2010/11" Requires="we">
        <xdr:graphicFrame macro="">
          <xdr:nvGraphicFramePr>
            <xdr:cNvPr id="28" name="Add-in 27">
              <a:extLst>
                <a:ext uri="{FF2B5EF4-FFF2-40B4-BE49-F238E27FC236}">
                  <a16:creationId xmlns:a16="http://schemas.microsoft.com/office/drawing/2014/main" id="{69CE8A43-23E3-6D2F-D56B-4CBB3CF020A1}"/>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8" name="Add-in 27">
              <a:extLst>
                <a:ext uri="{FF2B5EF4-FFF2-40B4-BE49-F238E27FC236}">
                  <a16:creationId xmlns:a16="http://schemas.microsoft.com/office/drawing/2014/main" id="{69CE8A43-23E3-6D2F-D56B-4CBB3CF020A1}"/>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0</xdr:col>
      <xdr:colOff>0</xdr:colOff>
      <xdr:row>0</xdr:row>
      <xdr:rowOff>367392</xdr:rowOff>
    </xdr:from>
    <xdr:to>
      <xdr:col>2</xdr:col>
      <xdr:colOff>806985</xdr:colOff>
      <xdr:row>7</xdr:row>
      <xdr:rowOff>95250</xdr:rowOff>
    </xdr:to>
    <xdr:pic>
      <xdr:nvPicPr>
        <xdr:cNvPr id="25" name="Picture 24">
          <a:extLst>
            <a:ext uri="{FF2B5EF4-FFF2-40B4-BE49-F238E27FC236}">
              <a16:creationId xmlns:a16="http://schemas.microsoft.com/office/drawing/2014/main" id="{310E7A81-3341-B954-935E-EF6299527E9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367392"/>
          <a:ext cx="2698378" cy="2340429"/>
        </a:xfrm>
        <a:prstGeom prst="rect">
          <a:avLst/>
        </a:prstGeom>
      </xdr:spPr>
    </xdr:pic>
    <xdr:clientData/>
  </xdr:twoCellAnchor>
  <xdr:twoCellAnchor>
    <xdr:from>
      <xdr:col>0</xdr:col>
      <xdr:colOff>163286</xdr:colOff>
      <xdr:row>8</xdr:row>
      <xdr:rowOff>81643</xdr:rowOff>
    </xdr:from>
    <xdr:to>
      <xdr:col>5</xdr:col>
      <xdr:colOff>1047750</xdr:colOff>
      <xdr:row>28</xdr:row>
      <xdr:rowOff>13607</xdr:rowOff>
    </xdr:to>
    <xdr:graphicFrame macro="">
      <xdr:nvGraphicFramePr>
        <xdr:cNvPr id="29" name="Chart 28">
          <a:extLst>
            <a:ext uri="{FF2B5EF4-FFF2-40B4-BE49-F238E27FC236}">
              <a16:creationId xmlns:a16="http://schemas.microsoft.com/office/drawing/2014/main" id="{D6693CC5-E7C1-4E8E-80FF-74CFB719D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830035</xdr:colOff>
      <xdr:row>9</xdr:row>
      <xdr:rowOff>27214</xdr:rowOff>
    </xdr:from>
    <xdr:to>
      <xdr:col>15</xdr:col>
      <xdr:colOff>530677</xdr:colOff>
      <xdr:row>36</xdr:row>
      <xdr:rowOff>54429</xdr:rowOff>
    </xdr:to>
    <xdr:graphicFrame macro="">
      <xdr:nvGraphicFramePr>
        <xdr:cNvPr id="31" name="Chart 30">
          <a:extLst>
            <a:ext uri="{FF2B5EF4-FFF2-40B4-BE49-F238E27FC236}">
              <a16:creationId xmlns:a16="http://schemas.microsoft.com/office/drawing/2014/main" id="{8426AF4E-161B-4CE1-96EF-92A66177E6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149679</xdr:colOff>
      <xdr:row>9</xdr:row>
      <xdr:rowOff>40822</xdr:rowOff>
    </xdr:from>
    <xdr:to>
      <xdr:col>24</xdr:col>
      <xdr:colOff>775608</xdr:colOff>
      <xdr:row>30</xdr:row>
      <xdr:rowOff>40822</xdr:rowOff>
    </xdr:to>
    <xdr:graphicFrame macro="">
      <xdr:nvGraphicFramePr>
        <xdr:cNvPr id="32" name="Chart 31">
          <a:extLst>
            <a:ext uri="{FF2B5EF4-FFF2-40B4-BE49-F238E27FC236}">
              <a16:creationId xmlns:a16="http://schemas.microsoft.com/office/drawing/2014/main" id="{70A8D467-69B8-46D1-BDF8-741714E43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435428</xdr:colOff>
      <xdr:row>29</xdr:row>
      <xdr:rowOff>54429</xdr:rowOff>
    </xdr:from>
    <xdr:to>
      <xdr:col>6</xdr:col>
      <xdr:colOff>1142999</xdr:colOff>
      <xdr:row>50</xdr:row>
      <xdr:rowOff>122465</xdr:rowOff>
    </xdr:to>
    <xdr:graphicFrame macro="">
      <xdr:nvGraphicFramePr>
        <xdr:cNvPr id="33" name="Chart 32">
          <a:extLst>
            <a:ext uri="{FF2B5EF4-FFF2-40B4-BE49-F238E27FC236}">
              <a16:creationId xmlns:a16="http://schemas.microsoft.com/office/drawing/2014/main" id="{0AF799EE-70D6-44D6-A21A-9ED591F3A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20</xdr:col>
      <xdr:colOff>599090</xdr:colOff>
      <xdr:row>0</xdr:row>
      <xdr:rowOff>401551</xdr:rowOff>
    </xdr:from>
    <xdr:to>
      <xdr:col>23</xdr:col>
      <xdr:colOff>775454</xdr:colOff>
      <xdr:row>7</xdr:row>
      <xdr:rowOff>129409</xdr:rowOff>
    </xdr:to>
    <xdr:pic>
      <xdr:nvPicPr>
        <xdr:cNvPr id="34" name="Picture 33">
          <a:extLst>
            <a:ext uri="{FF2B5EF4-FFF2-40B4-BE49-F238E27FC236}">
              <a16:creationId xmlns:a16="http://schemas.microsoft.com/office/drawing/2014/main" id="{FEFE943F-09B9-456F-A0FB-A4DC19238F6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790573" y="401551"/>
          <a:ext cx="2698847" cy="23423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36989</xdr:colOff>
      <xdr:row>22</xdr:row>
      <xdr:rowOff>25689</xdr:rowOff>
    </xdr:from>
    <xdr:to>
      <xdr:col>2</xdr:col>
      <xdr:colOff>470185</xdr:colOff>
      <xdr:row>25</xdr:row>
      <xdr:rowOff>22194</xdr:rowOff>
    </xdr:to>
    <xdr:sp macro="[0]!NewRow" textlink="">
      <xdr:nvSpPr>
        <xdr:cNvPr id="3" name="Rectangle 2">
          <a:extLst>
            <a:ext uri="{FF2B5EF4-FFF2-40B4-BE49-F238E27FC236}">
              <a16:creationId xmlns:a16="http://schemas.microsoft.com/office/drawing/2014/main" id="{E86FF074-424E-82B3-C692-17BF07977807}"/>
            </a:ext>
          </a:extLst>
        </xdr:cNvPr>
        <xdr:cNvSpPr/>
      </xdr:nvSpPr>
      <xdr:spPr>
        <a:xfrm>
          <a:off x="872970" y="4516310"/>
          <a:ext cx="1424535" cy="396001"/>
        </a:xfrm>
        <a:prstGeom prst="rect">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2"/>
              </a:solidFill>
            </a:rPr>
            <a:t>Add Row</a:t>
          </a:r>
        </a:p>
      </xdr:txBody>
    </xdr:sp>
    <xdr:clientData/>
  </xdr:twoCellAnchor>
  <xdr:twoCellAnchor>
    <xdr:from>
      <xdr:col>2</xdr:col>
      <xdr:colOff>983941</xdr:colOff>
      <xdr:row>22</xdr:row>
      <xdr:rowOff>21557</xdr:rowOff>
    </xdr:from>
    <xdr:to>
      <xdr:col>4</xdr:col>
      <xdr:colOff>392318</xdr:colOff>
      <xdr:row>25</xdr:row>
      <xdr:rowOff>7398</xdr:rowOff>
    </xdr:to>
    <xdr:sp macro="[0]!ClearIncomes" textlink="">
      <xdr:nvSpPr>
        <xdr:cNvPr id="5" name="Rectangle 4">
          <a:extLst>
            <a:ext uri="{FF2B5EF4-FFF2-40B4-BE49-F238E27FC236}">
              <a16:creationId xmlns:a16="http://schemas.microsoft.com/office/drawing/2014/main" id="{40D6840B-B400-430A-9250-A35C8884DEAE}"/>
            </a:ext>
          </a:extLst>
        </xdr:cNvPr>
        <xdr:cNvSpPr/>
      </xdr:nvSpPr>
      <xdr:spPr>
        <a:xfrm>
          <a:off x="2811261" y="4512178"/>
          <a:ext cx="1857135" cy="385337"/>
        </a:xfrm>
        <a:prstGeom prst="rect">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a:t>
          </a:r>
          <a:r>
            <a:rPr lang="en-US" sz="1400" b="1" baseline="0">
              <a:solidFill>
                <a:schemeClr val="bg1"/>
              </a:solidFill>
            </a:rPr>
            <a:t> Income Tracker</a:t>
          </a:r>
          <a:endParaRPr lang="en-US" sz="1400" b="1">
            <a:solidFill>
              <a:schemeClr val="bg1"/>
            </a:solidFill>
          </a:endParaRPr>
        </a:p>
      </xdr:txBody>
    </xdr:sp>
    <xdr:clientData/>
  </xdr:twoCellAnchor>
  <xdr:twoCellAnchor>
    <xdr:from>
      <xdr:col>4</xdr:col>
      <xdr:colOff>872971</xdr:colOff>
      <xdr:row>22</xdr:row>
      <xdr:rowOff>22194</xdr:rowOff>
    </xdr:from>
    <xdr:to>
      <xdr:col>5</xdr:col>
      <xdr:colOff>806611</xdr:colOff>
      <xdr:row>25</xdr:row>
      <xdr:rowOff>8035</xdr:rowOff>
    </xdr:to>
    <xdr:sp macro="[0]!RunIncomeForm" textlink="">
      <xdr:nvSpPr>
        <xdr:cNvPr id="6" name="Rectangle 5">
          <a:extLst>
            <a:ext uri="{FF2B5EF4-FFF2-40B4-BE49-F238E27FC236}">
              <a16:creationId xmlns:a16="http://schemas.microsoft.com/office/drawing/2014/main" id="{40EAFCFA-1451-4C7E-8E83-79ACCDB9709B}"/>
            </a:ext>
          </a:extLst>
        </xdr:cNvPr>
        <xdr:cNvSpPr/>
      </xdr:nvSpPr>
      <xdr:spPr>
        <a:xfrm>
          <a:off x="5149049" y="4113320"/>
          <a:ext cx="1309679" cy="385336"/>
        </a:xfrm>
        <a:prstGeom prst="rect">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Enter</a:t>
          </a:r>
          <a:r>
            <a:rPr lang="en-US" sz="1400" b="1" baseline="0">
              <a:solidFill>
                <a:schemeClr val="bg1"/>
              </a:solidFill>
            </a:rPr>
            <a:t> Income</a:t>
          </a:r>
          <a:endParaRPr lang="en-US" sz="1400" b="1">
            <a:solidFill>
              <a:schemeClr val="bg1"/>
            </a:solidFill>
          </a:endParaRPr>
        </a:p>
      </xdr:txBody>
    </xdr:sp>
    <xdr:clientData/>
  </xdr:twoCellAnchor>
  <xdr:twoCellAnchor>
    <xdr:from>
      <xdr:col>9</xdr:col>
      <xdr:colOff>0</xdr:colOff>
      <xdr:row>5</xdr:row>
      <xdr:rowOff>0</xdr:rowOff>
    </xdr:from>
    <xdr:to>
      <xdr:col>10</xdr:col>
      <xdr:colOff>833120</xdr:colOff>
      <xdr:row>6</xdr:row>
      <xdr:rowOff>183398</xdr:rowOff>
    </xdr:to>
    <xdr:sp macro="[0]!RunIncomeDistributionForm" textlink="">
      <xdr:nvSpPr>
        <xdr:cNvPr id="2" name="Rectangle 1">
          <a:extLst>
            <a:ext uri="{FF2B5EF4-FFF2-40B4-BE49-F238E27FC236}">
              <a16:creationId xmlns:a16="http://schemas.microsoft.com/office/drawing/2014/main" id="{0F598FCC-A0DD-42DE-890A-309CDF14B6DC}"/>
            </a:ext>
          </a:extLst>
        </xdr:cNvPr>
        <xdr:cNvSpPr/>
      </xdr:nvSpPr>
      <xdr:spPr>
        <a:xfrm>
          <a:off x="9784080" y="1137920"/>
          <a:ext cx="2357120" cy="386598"/>
        </a:xfrm>
        <a:prstGeom prst="rect">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Enter</a:t>
          </a:r>
          <a:r>
            <a:rPr lang="en-US" sz="1400" b="1" baseline="0">
              <a:solidFill>
                <a:schemeClr val="bg1"/>
              </a:solidFill>
            </a:rPr>
            <a:t> Income Distribution</a:t>
          </a:r>
          <a:endParaRPr lang="en-US" sz="1400" b="1">
            <a:solidFill>
              <a:schemeClr val="bg1"/>
            </a:solidFill>
          </a:endParaRPr>
        </a:p>
      </xdr:txBody>
    </xdr:sp>
    <xdr:clientData/>
  </xdr:twoCellAnchor>
  <xdr:twoCellAnchor>
    <xdr:from>
      <xdr:col>8</xdr:col>
      <xdr:colOff>525889</xdr:colOff>
      <xdr:row>9</xdr:row>
      <xdr:rowOff>9525</xdr:rowOff>
    </xdr:from>
    <xdr:to>
      <xdr:col>12</xdr:col>
      <xdr:colOff>38101</xdr:colOff>
      <xdr:row>24</xdr:row>
      <xdr:rowOff>10733</xdr:rowOff>
    </xdr:to>
    <xdr:graphicFrame macro="">
      <xdr:nvGraphicFramePr>
        <xdr:cNvPr id="9" name="Chart 8">
          <a:extLst>
            <a:ext uri="{FF2B5EF4-FFF2-40B4-BE49-F238E27FC236}">
              <a16:creationId xmlns:a16="http://schemas.microsoft.com/office/drawing/2014/main" id="{ADD6C7C9-527D-2F27-B2AC-DACA487A04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453396</xdr:colOff>
      <xdr:row>10</xdr:row>
      <xdr:rowOff>5794</xdr:rowOff>
    </xdr:from>
    <xdr:to>
      <xdr:col>18</xdr:col>
      <xdr:colOff>486833</xdr:colOff>
      <xdr:row>24</xdr:row>
      <xdr:rowOff>179916</xdr:rowOff>
    </xdr:to>
    <xdr:graphicFrame macro="">
      <xdr:nvGraphicFramePr>
        <xdr:cNvPr id="13" name="Chart 12">
          <a:extLst>
            <a:ext uri="{FF2B5EF4-FFF2-40B4-BE49-F238E27FC236}">
              <a16:creationId xmlns:a16="http://schemas.microsoft.com/office/drawing/2014/main" id="{E67E5DAB-EC39-3422-1819-BCC51BAEF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140665</xdr:colOff>
      <xdr:row>0</xdr:row>
      <xdr:rowOff>201626</xdr:rowOff>
    </xdr:from>
    <xdr:to>
      <xdr:col>17</xdr:col>
      <xdr:colOff>280186</xdr:colOff>
      <xdr:row>2</xdr:row>
      <xdr:rowOff>106691</xdr:rowOff>
    </xdr:to>
    <xdr:sp macro="[0]!RefreshPivotTableANDChart" textlink="">
      <xdr:nvSpPr>
        <xdr:cNvPr id="14" name="Rectangle 13">
          <a:extLst>
            <a:ext uri="{FF2B5EF4-FFF2-40B4-BE49-F238E27FC236}">
              <a16:creationId xmlns:a16="http://schemas.microsoft.com/office/drawing/2014/main" id="{8BB6EA4E-DBEF-421E-B988-7267A900E510}"/>
            </a:ext>
          </a:extLst>
        </xdr:cNvPr>
        <xdr:cNvSpPr/>
      </xdr:nvSpPr>
      <xdr:spPr>
        <a:xfrm>
          <a:off x="16223945" y="201626"/>
          <a:ext cx="1826081" cy="402905"/>
        </a:xfrm>
        <a:prstGeom prst="rect">
          <a:avLst/>
        </a:prstGeom>
        <a:solidFill>
          <a:schemeClr val="accent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Refresh</a:t>
          </a:r>
          <a:r>
            <a:rPr lang="en-US" sz="1400" b="1" baseline="0">
              <a:solidFill>
                <a:schemeClr val="bg1"/>
              </a:solidFill>
            </a:rPr>
            <a:t> Pivot Table</a:t>
          </a:r>
          <a:endParaRPr lang="en-US" sz="1400" b="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28431</xdr:colOff>
      <xdr:row>17</xdr:row>
      <xdr:rowOff>18954</xdr:rowOff>
    </xdr:from>
    <xdr:to>
      <xdr:col>3</xdr:col>
      <xdr:colOff>120315</xdr:colOff>
      <xdr:row>20</xdr:row>
      <xdr:rowOff>60157</xdr:rowOff>
    </xdr:to>
    <xdr:sp macro="[0]!NewRow" textlink="">
      <xdr:nvSpPr>
        <xdr:cNvPr id="2" name="Rectangle 1">
          <a:extLst>
            <a:ext uri="{FF2B5EF4-FFF2-40B4-BE49-F238E27FC236}">
              <a16:creationId xmlns:a16="http://schemas.microsoft.com/office/drawing/2014/main" id="{781311BE-9809-E441-8E7C-4732CB66C4FA}"/>
            </a:ext>
          </a:extLst>
        </xdr:cNvPr>
        <xdr:cNvSpPr/>
      </xdr:nvSpPr>
      <xdr:spPr>
        <a:xfrm>
          <a:off x="619984" y="3528165"/>
          <a:ext cx="1926699" cy="642781"/>
        </a:xfrm>
        <a:prstGeom prst="rect">
          <a:avLst/>
        </a:prstGeom>
        <a:solidFill>
          <a:schemeClr val="accent3"/>
        </a:solid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Add Row</a:t>
          </a:r>
        </a:p>
      </xdr:txBody>
    </xdr:sp>
    <xdr:clientData/>
  </xdr:twoCellAnchor>
  <xdr:twoCellAnchor>
    <xdr:from>
      <xdr:col>3</xdr:col>
      <xdr:colOff>650214</xdr:colOff>
      <xdr:row>16</xdr:row>
      <xdr:rowOff>199029</xdr:rowOff>
    </xdr:from>
    <xdr:to>
      <xdr:col>4</xdr:col>
      <xdr:colOff>1150781</xdr:colOff>
      <xdr:row>20</xdr:row>
      <xdr:rowOff>20054</xdr:rowOff>
    </xdr:to>
    <xdr:sp macro="[0]!ClearExpenses" textlink="">
      <xdr:nvSpPr>
        <xdr:cNvPr id="6" name="Rectangle 5">
          <a:extLst>
            <a:ext uri="{FF2B5EF4-FFF2-40B4-BE49-F238E27FC236}">
              <a16:creationId xmlns:a16="http://schemas.microsoft.com/office/drawing/2014/main" id="{A54BEDAD-6E87-4799-8017-2F8292C89D51}"/>
            </a:ext>
          </a:extLst>
        </xdr:cNvPr>
        <xdr:cNvSpPr/>
      </xdr:nvSpPr>
      <xdr:spPr>
        <a:xfrm>
          <a:off x="3076582" y="3507713"/>
          <a:ext cx="1964410" cy="623130"/>
        </a:xfrm>
        <a:prstGeom prst="rect">
          <a:avLst/>
        </a:prstGeom>
        <a:solidFill>
          <a:schemeClr val="accent3"/>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a:t>
          </a:r>
          <a:r>
            <a:rPr lang="en-US" sz="1400" b="1" baseline="0">
              <a:solidFill>
                <a:schemeClr val="bg1"/>
              </a:solidFill>
            </a:rPr>
            <a:t> Expense Tracker</a:t>
          </a:r>
          <a:endParaRPr lang="en-US" sz="1400" b="1">
            <a:solidFill>
              <a:schemeClr val="bg1"/>
            </a:solidFill>
          </a:endParaRPr>
        </a:p>
      </xdr:txBody>
    </xdr:sp>
    <xdr:clientData/>
  </xdr:twoCellAnchor>
  <xdr:twoCellAnchor>
    <xdr:from>
      <xdr:col>4</xdr:col>
      <xdr:colOff>1722774</xdr:colOff>
      <xdr:row>17</xdr:row>
      <xdr:rowOff>20051</xdr:rowOff>
    </xdr:from>
    <xdr:to>
      <xdr:col>5</xdr:col>
      <xdr:colOff>1503948</xdr:colOff>
      <xdr:row>20</xdr:row>
      <xdr:rowOff>20052</xdr:rowOff>
    </xdr:to>
    <xdr:sp macro="[0]!RunExpenseForm" textlink="">
      <xdr:nvSpPr>
        <xdr:cNvPr id="3" name="Rectangle 2">
          <a:extLst>
            <a:ext uri="{FF2B5EF4-FFF2-40B4-BE49-F238E27FC236}">
              <a16:creationId xmlns:a16="http://schemas.microsoft.com/office/drawing/2014/main" id="{E22FC23A-34D8-4D4A-ACBC-4E7E2155D064}"/>
            </a:ext>
          </a:extLst>
        </xdr:cNvPr>
        <xdr:cNvSpPr/>
      </xdr:nvSpPr>
      <xdr:spPr>
        <a:xfrm>
          <a:off x="5612985" y="3529262"/>
          <a:ext cx="2137358" cy="601579"/>
        </a:xfrm>
        <a:prstGeom prst="rect">
          <a:avLst/>
        </a:prstGeom>
        <a:solidFill>
          <a:schemeClr val="accent3"/>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Enter</a:t>
          </a:r>
          <a:r>
            <a:rPr lang="en-US" sz="1400" b="1" baseline="0">
              <a:solidFill>
                <a:schemeClr val="bg1"/>
              </a:solidFill>
            </a:rPr>
            <a:t> Expenses</a:t>
          </a:r>
          <a:endParaRPr lang="en-US" sz="1400" b="1">
            <a:solidFill>
              <a:schemeClr val="bg1"/>
            </a:solidFill>
          </a:endParaRPr>
        </a:p>
      </xdr:txBody>
    </xdr:sp>
    <xdr:clientData/>
  </xdr:twoCellAnchor>
  <xdr:twoCellAnchor>
    <xdr:from>
      <xdr:col>10</xdr:col>
      <xdr:colOff>1012657</xdr:colOff>
      <xdr:row>15</xdr:row>
      <xdr:rowOff>157089</xdr:rowOff>
    </xdr:from>
    <xdr:to>
      <xdr:col>11</xdr:col>
      <xdr:colOff>1298348</xdr:colOff>
      <xdr:row>17</xdr:row>
      <xdr:rowOff>149191</xdr:rowOff>
    </xdr:to>
    <xdr:sp macro="[0]!RefreshPivotTableANDChart" textlink="">
      <xdr:nvSpPr>
        <xdr:cNvPr id="9" name="Rectangle 8">
          <a:extLst>
            <a:ext uri="{FF2B5EF4-FFF2-40B4-BE49-F238E27FC236}">
              <a16:creationId xmlns:a16="http://schemas.microsoft.com/office/drawing/2014/main" id="{1FAAF191-ADF8-4B7E-9556-57FC83452DFA}"/>
            </a:ext>
          </a:extLst>
        </xdr:cNvPr>
        <xdr:cNvSpPr/>
      </xdr:nvSpPr>
      <xdr:spPr>
        <a:xfrm>
          <a:off x="12191999" y="3265247"/>
          <a:ext cx="1919981" cy="393155"/>
        </a:xfrm>
        <a:prstGeom prst="rect">
          <a:avLst/>
        </a:prstGeom>
        <a:solidFill>
          <a:schemeClr val="accent3"/>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Refresh</a:t>
          </a:r>
          <a:r>
            <a:rPr lang="en-US" sz="1400" b="1" baseline="0">
              <a:solidFill>
                <a:schemeClr val="bg1"/>
              </a:solidFill>
            </a:rPr>
            <a:t> Pivot Table</a:t>
          </a:r>
          <a:endParaRPr lang="en-US" sz="1400" b="1">
            <a:solidFill>
              <a:schemeClr val="bg1"/>
            </a:solidFill>
          </a:endParaRPr>
        </a:p>
      </xdr:txBody>
    </xdr:sp>
    <xdr:clientData/>
  </xdr:twoCellAnchor>
  <xdr:twoCellAnchor>
    <xdr:from>
      <xdr:col>12</xdr:col>
      <xdr:colOff>321469</xdr:colOff>
      <xdr:row>10</xdr:row>
      <xdr:rowOff>110727</xdr:rowOff>
    </xdr:from>
    <xdr:to>
      <xdr:col>19</xdr:col>
      <xdr:colOff>392906</xdr:colOff>
      <xdr:row>35</xdr:row>
      <xdr:rowOff>71438</xdr:rowOff>
    </xdr:to>
    <xdr:graphicFrame macro="">
      <xdr:nvGraphicFramePr>
        <xdr:cNvPr id="5" name="Chart 4">
          <a:extLst>
            <a:ext uri="{FF2B5EF4-FFF2-40B4-BE49-F238E27FC236}">
              <a16:creationId xmlns:a16="http://schemas.microsoft.com/office/drawing/2014/main" id="{FBC5B734-3798-D2BC-D4E6-BB43B832E8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21</xdr:row>
      <xdr:rowOff>17639</xdr:rowOff>
    </xdr:from>
    <xdr:to>
      <xdr:col>2</xdr:col>
      <xdr:colOff>4112</xdr:colOff>
      <xdr:row>24</xdr:row>
      <xdr:rowOff>42930</xdr:rowOff>
    </xdr:to>
    <xdr:sp macro="[0]!NewRow" textlink="">
      <xdr:nvSpPr>
        <xdr:cNvPr id="2" name="Rectangle 1">
          <a:extLst>
            <a:ext uri="{FF2B5EF4-FFF2-40B4-BE49-F238E27FC236}">
              <a16:creationId xmlns:a16="http://schemas.microsoft.com/office/drawing/2014/main" id="{9137A34C-4C9B-C542-AE45-C0ED69992569}"/>
            </a:ext>
          </a:extLst>
        </xdr:cNvPr>
        <xdr:cNvSpPr/>
      </xdr:nvSpPr>
      <xdr:spPr>
        <a:xfrm>
          <a:off x="837127" y="4235470"/>
          <a:ext cx="1989605" cy="604840"/>
        </a:xfrm>
        <a:prstGeom prst="rect">
          <a:avLst/>
        </a:prstGeom>
        <a:solidFill>
          <a:schemeClr val="accent5"/>
        </a:solid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Add Row</a:t>
          </a:r>
        </a:p>
      </xdr:txBody>
    </xdr:sp>
    <xdr:clientData/>
  </xdr:twoCellAnchor>
  <xdr:twoCellAnchor>
    <xdr:from>
      <xdr:col>2</xdr:col>
      <xdr:colOff>424205</xdr:colOff>
      <xdr:row>21</xdr:row>
      <xdr:rowOff>0</xdr:rowOff>
    </xdr:from>
    <xdr:to>
      <xdr:col>3</xdr:col>
      <xdr:colOff>1041067</xdr:colOff>
      <xdr:row>24</xdr:row>
      <xdr:rowOff>32197</xdr:rowOff>
    </xdr:to>
    <xdr:sp macro="[0]!ClearGoals" textlink="">
      <xdr:nvSpPr>
        <xdr:cNvPr id="3" name="Rectangle 2">
          <a:extLst>
            <a:ext uri="{FF2B5EF4-FFF2-40B4-BE49-F238E27FC236}">
              <a16:creationId xmlns:a16="http://schemas.microsoft.com/office/drawing/2014/main" id="{6A659A64-E7C8-4DE2-B5FB-0DB9BDBED704}"/>
            </a:ext>
          </a:extLst>
        </xdr:cNvPr>
        <xdr:cNvSpPr/>
      </xdr:nvSpPr>
      <xdr:spPr>
        <a:xfrm>
          <a:off x="3246825" y="4217831"/>
          <a:ext cx="1947679" cy="611746"/>
        </a:xfrm>
        <a:prstGeom prst="rect">
          <a:avLst/>
        </a:prstGeom>
        <a:solidFill>
          <a:schemeClr val="accent5"/>
        </a:solid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 Goal Tracker</a:t>
          </a:r>
        </a:p>
      </xdr:txBody>
    </xdr:sp>
    <xdr:clientData/>
  </xdr:twoCellAnchor>
  <xdr:twoCellAnchor>
    <xdr:from>
      <xdr:col>4</xdr:col>
      <xdr:colOff>416571</xdr:colOff>
      <xdr:row>20</xdr:row>
      <xdr:rowOff>193182</xdr:rowOff>
    </xdr:from>
    <xdr:to>
      <xdr:col>5</xdr:col>
      <xdr:colOff>1373746</xdr:colOff>
      <xdr:row>24</xdr:row>
      <xdr:rowOff>21465</xdr:rowOff>
    </xdr:to>
    <xdr:sp macro="[0]!RunGoalForm" textlink="">
      <xdr:nvSpPr>
        <xdr:cNvPr id="4" name="Rectangle 3">
          <a:extLst>
            <a:ext uri="{FF2B5EF4-FFF2-40B4-BE49-F238E27FC236}">
              <a16:creationId xmlns:a16="http://schemas.microsoft.com/office/drawing/2014/main" id="{9663FBDB-607D-4FFB-9FA5-E7CC236D7B4B}"/>
            </a:ext>
          </a:extLst>
        </xdr:cNvPr>
        <xdr:cNvSpPr/>
      </xdr:nvSpPr>
      <xdr:spPr>
        <a:xfrm>
          <a:off x="5632515" y="4217830"/>
          <a:ext cx="1966020" cy="601015"/>
        </a:xfrm>
        <a:prstGeom prst="rect">
          <a:avLst/>
        </a:prstGeom>
        <a:solidFill>
          <a:schemeClr val="accent5"/>
        </a:solid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Enter</a:t>
          </a:r>
          <a:r>
            <a:rPr lang="en-US" sz="1400" b="1" baseline="0">
              <a:solidFill>
                <a:schemeClr val="bg1"/>
              </a:solidFill>
            </a:rPr>
            <a:t> Goals</a:t>
          </a:r>
          <a:endParaRPr lang="en-US" sz="1400" b="1">
            <a:solidFill>
              <a:schemeClr val="bg1"/>
            </a:solidFill>
          </a:endParaRPr>
        </a:p>
      </xdr:txBody>
    </xdr:sp>
    <xdr:clientData/>
  </xdr:twoCellAnchor>
  <xdr:twoCellAnchor>
    <xdr:from>
      <xdr:col>13</xdr:col>
      <xdr:colOff>154783</xdr:colOff>
      <xdr:row>3</xdr:row>
      <xdr:rowOff>13818</xdr:rowOff>
    </xdr:from>
    <xdr:to>
      <xdr:col>15</xdr:col>
      <xdr:colOff>518858</xdr:colOff>
      <xdr:row>5</xdr:row>
      <xdr:rowOff>15621</xdr:rowOff>
    </xdr:to>
    <xdr:sp macro="[0]!RefreshPivotTableANDChart" textlink="">
      <xdr:nvSpPr>
        <xdr:cNvPr id="6" name="Rectangle 5">
          <a:extLst>
            <a:ext uri="{FF2B5EF4-FFF2-40B4-BE49-F238E27FC236}">
              <a16:creationId xmlns:a16="http://schemas.microsoft.com/office/drawing/2014/main" id="{E17F8E7E-E648-40BC-9949-590F3965D12D}"/>
            </a:ext>
          </a:extLst>
        </xdr:cNvPr>
        <xdr:cNvSpPr/>
      </xdr:nvSpPr>
      <xdr:spPr>
        <a:xfrm>
          <a:off x="18788064" y="704381"/>
          <a:ext cx="2030950" cy="406615"/>
        </a:xfrm>
        <a:prstGeom prst="rect">
          <a:avLst/>
        </a:prstGeom>
        <a:solidFill>
          <a:schemeClr val="accent5"/>
        </a:solid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Refresh</a:t>
          </a:r>
          <a:r>
            <a:rPr lang="en-US" sz="1400" b="1" baseline="0">
              <a:solidFill>
                <a:schemeClr val="bg1"/>
              </a:solidFill>
            </a:rPr>
            <a:t> Goal Chart</a:t>
          </a:r>
          <a:endParaRPr lang="en-US" sz="1400" b="1">
            <a:solidFill>
              <a:schemeClr val="bg1"/>
            </a:solidFill>
          </a:endParaRPr>
        </a:p>
      </xdr:txBody>
    </xdr:sp>
    <xdr:clientData/>
  </xdr:twoCellAnchor>
  <xdr:twoCellAnchor>
    <xdr:from>
      <xdr:col>10</xdr:col>
      <xdr:colOff>6802</xdr:colOff>
      <xdr:row>11</xdr:row>
      <xdr:rowOff>96592</xdr:rowOff>
    </xdr:from>
    <xdr:to>
      <xdr:col>14</xdr:col>
      <xdr:colOff>387802</xdr:colOff>
      <xdr:row>34</xdr:row>
      <xdr:rowOff>13606</xdr:rowOff>
    </xdr:to>
    <xdr:graphicFrame macro="">
      <xdr:nvGraphicFramePr>
        <xdr:cNvPr id="7" name="Chart 6">
          <a:extLst>
            <a:ext uri="{FF2B5EF4-FFF2-40B4-BE49-F238E27FC236}">
              <a16:creationId xmlns:a16="http://schemas.microsoft.com/office/drawing/2014/main" id="{70F67C7F-0E4D-6831-BE46-0DB3D01FE6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573304</xdr:colOff>
      <xdr:row>20</xdr:row>
      <xdr:rowOff>9896</xdr:rowOff>
    </xdr:from>
    <xdr:to>
      <xdr:col>3</xdr:col>
      <xdr:colOff>982694</xdr:colOff>
      <xdr:row>22</xdr:row>
      <xdr:rowOff>185237</xdr:rowOff>
    </xdr:to>
    <xdr:sp macro="[0]!AdviceSpendingExpenses" textlink="">
      <xdr:nvSpPr>
        <xdr:cNvPr id="4" name="Rectangle 3">
          <a:extLst>
            <a:ext uri="{FF2B5EF4-FFF2-40B4-BE49-F238E27FC236}">
              <a16:creationId xmlns:a16="http://schemas.microsoft.com/office/drawing/2014/main" id="{8BCBC747-F035-6207-2648-781EF1CA925A}"/>
            </a:ext>
          </a:extLst>
        </xdr:cNvPr>
        <xdr:cNvSpPr/>
      </xdr:nvSpPr>
      <xdr:spPr>
        <a:xfrm>
          <a:off x="1412469" y="4485440"/>
          <a:ext cx="2338503" cy="580455"/>
        </a:xfrm>
        <a:prstGeom prst="rect">
          <a:avLst/>
        </a:prstGeom>
        <a:solidFill>
          <a:schemeClr val="tx2">
            <a:lumMod val="75000"/>
            <a:lumOff val="25000"/>
          </a:schemeClr>
        </a:solidFill>
        <a:ln>
          <a:solidFill>
            <a:schemeClr val="accent4">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400" b="1" kern="1200">
              <a:solidFill>
                <a:schemeClr val="bg1"/>
              </a:solidFill>
            </a:rPr>
            <a:t>ADVICE</a:t>
          </a:r>
          <a:r>
            <a:rPr lang="en-CA" sz="1400" b="1" kern="1200" baseline="0">
              <a:solidFill>
                <a:schemeClr val="bg1"/>
              </a:solidFill>
            </a:rPr>
            <a:t>: </a:t>
          </a:r>
        </a:p>
        <a:p>
          <a:pPr algn="ctr"/>
          <a:r>
            <a:rPr lang="en-CA" sz="1400" b="1" kern="1200">
              <a:solidFill>
                <a:schemeClr val="bg1"/>
              </a:solidFill>
            </a:rPr>
            <a:t>Income</a:t>
          </a:r>
          <a:r>
            <a:rPr lang="en-CA" sz="1400" b="1" kern="1200" baseline="0">
              <a:solidFill>
                <a:schemeClr val="bg1"/>
              </a:solidFill>
            </a:rPr>
            <a:t> VS Expenses </a:t>
          </a:r>
          <a:endParaRPr lang="en-CA" sz="1400" b="1" kern="1200">
            <a:solidFill>
              <a:schemeClr val="bg1"/>
            </a:solidFill>
          </a:endParaRPr>
        </a:p>
      </xdr:txBody>
    </xdr:sp>
    <xdr:clientData/>
  </xdr:twoCellAnchor>
  <xdr:twoCellAnchor>
    <xdr:from>
      <xdr:col>8</xdr:col>
      <xdr:colOff>243696</xdr:colOff>
      <xdr:row>20</xdr:row>
      <xdr:rowOff>23743</xdr:rowOff>
    </xdr:from>
    <xdr:to>
      <xdr:col>10</xdr:col>
      <xdr:colOff>513487</xdr:colOff>
      <xdr:row>22</xdr:row>
      <xdr:rowOff>201101</xdr:rowOff>
    </xdr:to>
    <xdr:sp macro="[0]!AdviceExpenses" textlink="">
      <xdr:nvSpPr>
        <xdr:cNvPr id="2" name="Rectangle 1">
          <a:extLst>
            <a:ext uri="{FF2B5EF4-FFF2-40B4-BE49-F238E27FC236}">
              <a16:creationId xmlns:a16="http://schemas.microsoft.com/office/drawing/2014/main" id="{FB7AEED5-3A2A-48E1-8456-799C1F97009E}"/>
            </a:ext>
          </a:extLst>
        </xdr:cNvPr>
        <xdr:cNvSpPr/>
      </xdr:nvSpPr>
      <xdr:spPr>
        <a:xfrm>
          <a:off x="7902278" y="4499287"/>
          <a:ext cx="2372525" cy="582472"/>
        </a:xfrm>
        <a:prstGeom prst="rect">
          <a:avLst/>
        </a:prstGeom>
        <a:solidFill>
          <a:schemeClr val="tx2">
            <a:lumMod val="75000"/>
            <a:lumOff val="25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400" b="1" kern="1200">
              <a:solidFill>
                <a:schemeClr val="bg1"/>
              </a:solidFill>
            </a:rPr>
            <a:t>ADVICE</a:t>
          </a:r>
          <a:r>
            <a:rPr lang="en-CA" sz="1400" b="1" kern="1200" baseline="0">
              <a:solidFill>
                <a:schemeClr val="bg1"/>
              </a:solidFill>
            </a:rPr>
            <a:t>: </a:t>
          </a:r>
        </a:p>
        <a:p>
          <a:pPr algn="ctr"/>
          <a:r>
            <a:rPr lang="en-CA" sz="1400" b="1" kern="1200">
              <a:solidFill>
                <a:schemeClr val="bg1"/>
              </a:solidFill>
            </a:rPr>
            <a:t>Expenses</a:t>
          </a:r>
          <a:r>
            <a:rPr lang="en-CA" sz="1400" b="1" kern="1200" baseline="0">
              <a:solidFill>
                <a:schemeClr val="bg1"/>
              </a:solidFill>
            </a:rPr>
            <a:t> </a:t>
          </a:r>
          <a:endParaRPr lang="en-CA" sz="1400" b="1" kern="1200">
            <a:solidFill>
              <a:schemeClr val="bg1"/>
            </a:solidFill>
          </a:endParaRPr>
        </a:p>
      </xdr:txBody>
    </xdr:sp>
    <xdr:clientData/>
  </xdr:twoCellAnchor>
  <xdr:twoCellAnchor>
    <xdr:from>
      <xdr:col>13</xdr:col>
      <xdr:colOff>1507260</xdr:colOff>
      <xdr:row>20</xdr:row>
      <xdr:rowOff>14933</xdr:rowOff>
    </xdr:from>
    <xdr:to>
      <xdr:col>17</xdr:col>
      <xdr:colOff>142370</xdr:colOff>
      <xdr:row>22</xdr:row>
      <xdr:rowOff>178567</xdr:rowOff>
    </xdr:to>
    <xdr:sp macro="[0]!SavingsGoalAdvice" textlink="">
      <xdr:nvSpPr>
        <xdr:cNvPr id="3" name="Rectangle 2">
          <a:extLst>
            <a:ext uri="{FF2B5EF4-FFF2-40B4-BE49-F238E27FC236}">
              <a16:creationId xmlns:a16="http://schemas.microsoft.com/office/drawing/2014/main" id="{17267C41-D612-4DB1-B148-B574FE17EC18}"/>
            </a:ext>
          </a:extLst>
        </xdr:cNvPr>
        <xdr:cNvSpPr/>
      </xdr:nvSpPr>
      <xdr:spPr>
        <a:xfrm>
          <a:off x="14080260" y="4362241"/>
          <a:ext cx="2366956" cy="554403"/>
        </a:xfrm>
        <a:prstGeom prst="rect">
          <a:avLst/>
        </a:prstGeom>
        <a:solidFill>
          <a:schemeClr val="tx2">
            <a:lumMod val="75000"/>
            <a:lumOff val="25000"/>
          </a:schemeClr>
        </a:solidFill>
        <a:ln>
          <a:solidFill>
            <a:schemeClr val="accent4">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400" b="1" kern="1200">
              <a:solidFill>
                <a:schemeClr val="bg1"/>
              </a:solidFill>
            </a:rPr>
            <a:t>ADVICE</a:t>
          </a:r>
          <a:r>
            <a:rPr lang="en-CA" sz="1400" b="1" kern="1200" baseline="0">
              <a:solidFill>
                <a:schemeClr val="bg1"/>
              </a:solidFill>
            </a:rPr>
            <a:t>:</a:t>
          </a:r>
        </a:p>
        <a:p>
          <a:pPr algn="ctr"/>
          <a:r>
            <a:rPr lang="en-CA" sz="1400" b="1" kern="1200" baseline="0">
              <a:solidFill>
                <a:schemeClr val="bg1"/>
              </a:solidFill>
            </a:rPr>
            <a:t>Saving for Goals </a:t>
          </a:r>
        </a:p>
        <a:p>
          <a:pPr algn="ctr"/>
          <a:endParaRPr lang="en-CA" sz="1400" b="1" kern="1200">
            <a:solidFill>
              <a:schemeClr val="bg1"/>
            </a:solidFill>
          </a:endParaRPr>
        </a:p>
      </xdr:txBody>
    </xdr:sp>
    <xdr:clientData/>
  </xdr:twoCellAnchor>
  <xdr:twoCellAnchor>
    <xdr:from>
      <xdr:col>0</xdr:col>
      <xdr:colOff>695646</xdr:colOff>
      <xdr:row>5</xdr:row>
      <xdr:rowOff>124344</xdr:rowOff>
    </xdr:from>
    <xdr:to>
      <xdr:col>5</xdr:col>
      <xdr:colOff>231322</xdr:colOff>
      <xdr:row>18</xdr:row>
      <xdr:rowOff>97097</xdr:rowOff>
    </xdr:to>
    <xdr:graphicFrame macro="">
      <xdr:nvGraphicFramePr>
        <xdr:cNvPr id="7" name="Chart 6">
          <a:extLst>
            <a:ext uri="{FF2B5EF4-FFF2-40B4-BE49-F238E27FC236}">
              <a16:creationId xmlns:a16="http://schemas.microsoft.com/office/drawing/2014/main" id="{E08E2B6D-1C8D-41E5-552D-1422F8FE29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58460</xdr:colOff>
      <xdr:row>5</xdr:row>
      <xdr:rowOff>79324</xdr:rowOff>
    </xdr:from>
    <xdr:to>
      <xdr:col>11</xdr:col>
      <xdr:colOff>557892</xdr:colOff>
      <xdr:row>18</xdr:row>
      <xdr:rowOff>122465</xdr:rowOff>
    </xdr:to>
    <xdr:graphicFrame macro="">
      <xdr:nvGraphicFramePr>
        <xdr:cNvPr id="8" name="Chart 7">
          <a:extLst>
            <a:ext uri="{FF2B5EF4-FFF2-40B4-BE49-F238E27FC236}">
              <a16:creationId xmlns:a16="http://schemas.microsoft.com/office/drawing/2014/main" id="{F281F724-A91E-7B33-8DF5-DEA7EF010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74840</xdr:colOff>
      <xdr:row>5</xdr:row>
      <xdr:rowOff>138794</xdr:rowOff>
    </xdr:from>
    <xdr:to>
      <xdr:col>19</xdr:col>
      <xdr:colOff>88447</xdr:colOff>
      <xdr:row>19</xdr:row>
      <xdr:rowOff>24494</xdr:rowOff>
    </xdr:to>
    <xdr:graphicFrame macro="">
      <xdr:nvGraphicFramePr>
        <xdr:cNvPr id="10" name="Chart 9">
          <a:extLst>
            <a:ext uri="{FF2B5EF4-FFF2-40B4-BE49-F238E27FC236}">
              <a16:creationId xmlns:a16="http://schemas.microsoft.com/office/drawing/2014/main" id="{058338B7-8177-3B63-9422-2B69BB513B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n Yadav" refreshedDate="45624.96956435185" createdVersion="8" refreshedVersion="8" minRefreshableVersion="3" recordCount="18" xr:uid="{AFE6747E-9977-466E-939E-4CBBFB27368F}">
  <cacheSource type="worksheet">
    <worksheetSource ref="B3:G21" sheet="Expenses"/>
  </cacheSource>
  <cacheFields count="6">
    <cacheField name="Date Due" numFmtId="0">
      <sharedItems containsNonDate="0" containsDate="1" containsString="0" containsBlank="1" minDate="2024-11-27T00:00:00" maxDate="2024-11-28T00:00:00"/>
    </cacheField>
    <cacheField name="Date Paid" numFmtId="0">
      <sharedItems containsNonDate="0" containsDate="1" containsString="0" containsBlank="1" minDate="2024-11-27T00:00:00" maxDate="2024-11-28T00:00:00"/>
    </cacheField>
    <cacheField name="Expense Category" numFmtId="0">
      <sharedItems containsBlank="1" count="8">
        <s v="Rent"/>
        <s v="Food on Campus"/>
        <s v="Entertainment"/>
        <s v="Groceries"/>
        <m/>
        <s v="Utilities" u="1"/>
        <s v="Personal Items" u="1"/>
        <s v="Tuition" u="1"/>
      </sharedItems>
    </cacheField>
    <cacheField name="Description" numFmtId="0">
      <sharedItems containsBlank="1"/>
    </cacheField>
    <cacheField name="Payment Method" numFmtId="0">
      <sharedItems containsBlank="1"/>
    </cacheField>
    <cacheField name="Amount" numFmtId="0">
      <sharedItems containsString="0" containsBlank="1" containsNumber="1" minValue="23" maxValue="7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n Yadav" refreshedDate="45624.969564930558" createdVersion="8" refreshedVersion="8" minRefreshableVersion="3" recordCount="51" xr:uid="{B609BB46-4153-4A51-8F2A-3B498EE8572B}">
  <cacheSource type="worksheet">
    <worksheetSource ref="B3:I54" sheet="Goals"/>
  </cacheSource>
  <cacheFields count="8">
    <cacheField name="Goal" numFmtId="0">
      <sharedItems containsBlank="1" count="12">
        <s v="Save for Tuititon "/>
        <s v="Shopping"/>
        <s v="Birthday Present for Mom"/>
        <s v="Save for birthday dinner"/>
        <m/>
        <s v="Building Emergency Fund" u="1"/>
        <s v="Save for TV." u="1"/>
        <s v="Next Semester's Tutiton" u="1"/>
        <s v="Save for new phone" u="1"/>
        <s v="Save for Vacation" u="1"/>
        <s v="Save for Christmas " u="1"/>
        <s v="Birthday Dinner" u="1"/>
      </sharedItems>
    </cacheField>
    <cacheField name="Target Amount" numFmtId="0">
      <sharedItems containsString="0" containsBlank="1" containsNumber="1" containsInteger="1" minValue="78" maxValue="13000"/>
    </cacheField>
    <cacheField name="Start Date" numFmtId="0">
      <sharedItems containsNonDate="0" containsDate="1" containsString="0" containsBlank="1" minDate="2024-11-27T00:00:00" maxDate="2024-11-29T00:00:00"/>
    </cacheField>
    <cacheField name="Target Date" numFmtId="0">
      <sharedItems containsNonDate="0" containsDate="1" containsString="0" containsBlank="1" minDate="2024-12-05T00:00:00" maxDate="2025-01-06T00:00:00"/>
    </cacheField>
    <cacheField name="Amount Saved" numFmtId="165">
      <sharedItems containsString="0" containsBlank="1" containsNumber="1" containsInteger="1" minValue="60" maxValue="9800"/>
    </cacheField>
    <cacheField name="Remaining Balance" numFmtId="44">
      <sharedItems containsString="0" containsBlank="1" containsNumber="1" containsInteger="1" minValue="11" maxValue="3200"/>
    </cacheField>
    <cacheField name="Progress (%)" numFmtId="0">
      <sharedItems containsMixedTypes="1" containsNumber="1" minValue="0.33500000000000002" maxValue="0.85897435897435892"/>
    </cacheField>
    <cacheField name="Days till Target Date" numFmtId="0">
      <sharedItems containsBlank="1" containsMixedTypes="1" containsNumber="1" containsInteger="1" minValue="7" maxValue="3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n Yadav" refreshedDate="45624.969565624997" createdVersion="8" refreshedVersion="8" minRefreshableVersion="3" recordCount="8" xr:uid="{57BE7F84-0651-4A95-96DB-BE32D3AF9CE7}">
  <cacheSource type="worksheet">
    <worksheetSource ref="B3:F11" sheet="Income"/>
  </cacheSource>
  <cacheFields count="5">
    <cacheField name="Date" numFmtId="14">
      <sharedItems containsNonDate="0" containsDate="1" containsString="0" containsBlank="1" minDate="2024-11-27T00:00:00" maxDate="2024-11-29T00:00:00"/>
    </cacheField>
    <cacheField name="Source" numFmtId="0">
      <sharedItems containsBlank="1" count="7">
        <s v="Part-time"/>
        <s v="Freelance"/>
        <s v="Grant"/>
        <s v="Co-op"/>
        <m/>
        <s v="Scholorship" u="1"/>
        <s v="Allowance" u="1"/>
      </sharedItems>
    </cacheField>
    <cacheField name="Description" numFmtId="0">
      <sharedItems containsBlank="1"/>
    </cacheField>
    <cacheField name="Expected Amount" numFmtId="165">
      <sharedItems containsString="0" containsBlank="1" containsNumber="1" containsInteger="1" minValue="500" maxValue="1200"/>
    </cacheField>
    <cacheField name="Actual Amount" numFmtId="165">
      <sharedItems containsString="0" containsBlank="1" containsNumber="1" containsInteger="1" minValue="500" maxValue="125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n Yadav" refreshedDate="45624.969566087966" createdVersion="8" refreshedVersion="8" minRefreshableVersion="3" recordCount="27" xr:uid="{7D39C66F-8B74-4C05-8644-053DC4418F6A}">
  <cacheSource type="worksheet">
    <worksheetSource ref="B3:F129" sheet="Income"/>
  </cacheSource>
  <cacheFields count="5">
    <cacheField name="Date" numFmtId="0">
      <sharedItems containsNonDate="0" containsDate="1" containsString="0" containsBlank="1" minDate="2024-11-27T00:00:00" maxDate="2024-11-29T00:00:00"/>
    </cacheField>
    <cacheField name="Source" numFmtId="0">
      <sharedItems containsBlank="1" count="7">
        <s v="Part-time"/>
        <s v="Freelance"/>
        <s v="Grant"/>
        <s v="Co-op"/>
        <m/>
        <s v="Scholorship" u="1"/>
        <s v="Allowance" u="1"/>
      </sharedItems>
    </cacheField>
    <cacheField name="Description" numFmtId="0">
      <sharedItems containsBlank="1"/>
    </cacheField>
    <cacheField name="Expected Amount" numFmtId="0">
      <sharedItems containsString="0" containsBlank="1" containsNumber="1" containsInteger="1" minValue="500" maxValue="1200"/>
    </cacheField>
    <cacheField name="Actual Amount" numFmtId="165">
      <sharedItems containsString="0" containsBlank="1" containsNumber="1" containsInteger="1" minValue="500" maxValue="12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d v="2024-11-27T00:00:00"/>
    <d v="2024-11-27T00:00:00"/>
    <x v="0"/>
    <s v="November's Rent"/>
    <s v="Bank Transfer"/>
    <n v="700"/>
  </r>
  <r>
    <d v="2024-11-27T00:00:00"/>
    <d v="2024-11-27T00:00:00"/>
    <x v="1"/>
    <s v="Lunch and Dinner"/>
    <s v="WatCard"/>
    <n v="56.09"/>
  </r>
  <r>
    <d v="2024-11-27T00:00:00"/>
    <d v="2024-11-27T00:00:00"/>
    <x v="2"/>
    <s v="Subcriptions"/>
    <s v="Debit Card"/>
    <n v="23"/>
  </r>
  <r>
    <d v="2024-11-27T00:00:00"/>
    <d v="2024-11-27T00:00:00"/>
    <x v="3"/>
    <s v="Snacks "/>
    <s v="Cash"/>
    <n v="25"/>
  </r>
  <r>
    <m/>
    <m/>
    <x v="4"/>
    <m/>
    <m/>
    <m/>
  </r>
  <r>
    <m/>
    <m/>
    <x v="4"/>
    <m/>
    <m/>
    <m/>
  </r>
  <r>
    <m/>
    <m/>
    <x v="4"/>
    <m/>
    <m/>
    <m/>
  </r>
  <r>
    <m/>
    <m/>
    <x v="4"/>
    <m/>
    <m/>
    <m/>
  </r>
  <r>
    <m/>
    <m/>
    <x v="4"/>
    <m/>
    <m/>
    <m/>
  </r>
  <r>
    <m/>
    <m/>
    <x v="4"/>
    <m/>
    <m/>
    <m/>
  </r>
  <r>
    <m/>
    <m/>
    <x v="4"/>
    <m/>
    <m/>
    <m/>
  </r>
  <r>
    <m/>
    <m/>
    <x v="4"/>
    <m/>
    <m/>
    <m/>
  </r>
  <r>
    <m/>
    <m/>
    <x v="4"/>
    <m/>
    <m/>
    <m/>
  </r>
  <r>
    <m/>
    <m/>
    <x v="4"/>
    <m/>
    <m/>
    <m/>
  </r>
  <r>
    <m/>
    <m/>
    <x v="4"/>
    <m/>
    <m/>
    <m/>
  </r>
  <r>
    <m/>
    <m/>
    <x v="4"/>
    <m/>
    <m/>
    <m/>
  </r>
  <r>
    <m/>
    <m/>
    <x v="4"/>
    <m/>
    <m/>
    <m/>
  </r>
  <r>
    <m/>
    <m/>
    <x v="4"/>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n v="13000"/>
    <d v="2024-11-27T00:00:00"/>
    <d v="2024-12-27T00:00:00"/>
    <n v="9800"/>
    <n v="3200"/>
    <n v="0.75384615384615383"/>
    <n v="30"/>
  </r>
  <r>
    <x v="1"/>
    <n v="400"/>
    <d v="2024-11-27T00:00:00"/>
    <d v="2025-01-05T00:00:00"/>
    <n v="134"/>
    <n v="266"/>
    <n v="0.33500000000000002"/>
    <n v="39"/>
  </r>
  <r>
    <x v="2"/>
    <n v="78"/>
    <d v="2024-11-27T00:00:00"/>
    <d v="2024-12-05T00:00:00"/>
    <n v="67"/>
    <n v="11"/>
    <n v="0.85897435897435892"/>
    <n v="8"/>
  </r>
  <r>
    <x v="3"/>
    <n v="100"/>
    <d v="2024-11-28T00:00:00"/>
    <d v="2024-12-05T00:00:00"/>
    <n v="60"/>
    <n v="50"/>
    <n v="0.6"/>
    <n v="7"/>
  </r>
  <r>
    <x v="4"/>
    <m/>
    <m/>
    <m/>
    <m/>
    <m/>
    <s v=""/>
    <s v=""/>
  </r>
  <r>
    <x v="4"/>
    <m/>
    <m/>
    <m/>
    <m/>
    <m/>
    <s v=""/>
    <s v=""/>
  </r>
  <r>
    <x v="4"/>
    <m/>
    <m/>
    <m/>
    <m/>
    <m/>
    <s v=""/>
    <m/>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r>
    <x v="4"/>
    <m/>
    <m/>
    <m/>
    <m/>
    <m/>
    <s v=""/>
    <s v=""/>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d v="2024-11-27T00:00:00"/>
    <x v="0"/>
    <s v="Job at H&amp;M"/>
    <n v="1200"/>
    <n v="1250"/>
  </r>
  <r>
    <d v="2024-11-27T00:00:00"/>
    <x v="1"/>
    <s v="Social Media "/>
    <n v="500"/>
    <n v="500"/>
  </r>
  <r>
    <d v="2024-11-27T00:00:00"/>
    <x v="2"/>
    <s v="Leadership Award"/>
    <n v="1000"/>
    <n v="1000"/>
  </r>
  <r>
    <d v="2024-11-28T00:00:00"/>
    <x v="3"/>
    <s v="First paycheck"/>
    <n v="1000"/>
    <n v="1000"/>
  </r>
  <r>
    <m/>
    <x v="4"/>
    <m/>
    <m/>
    <m/>
  </r>
  <r>
    <m/>
    <x v="4"/>
    <m/>
    <m/>
    <m/>
  </r>
  <r>
    <m/>
    <x v="4"/>
    <m/>
    <m/>
    <m/>
  </r>
  <r>
    <m/>
    <x v="4"/>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d v="2024-11-27T00:00:00"/>
    <x v="0"/>
    <s v="Job at H&amp;M"/>
    <n v="1200"/>
    <n v="1250"/>
  </r>
  <r>
    <d v="2024-11-27T00:00:00"/>
    <x v="1"/>
    <s v="Social Media "/>
    <n v="500"/>
    <n v="500"/>
  </r>
  <r>
    <d v="2024-11-27T00:00:00"/>
    <x v="2"/>
    <s v="Leadership Award"/>
    <n v="1000"/>
    <n v="1000"/>
  </r>
  <r>
    <d v="2024-11-28T00:00:00"/>
    <x v="3"/>
    <s v="First paycheck"/>
    <n v="1000"/>
    <n v="1000"/>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r>
    <m/>
    <x v="4"/>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1A459F-09D1-4C76-92EB-945C2D8A32FF}"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5">
    <pivotField numFmtId="14" showAll="0"/>
    <pivotField axis="axisRow" showAll="0">
      <items count="8">
        <item m="1" x="6"/>
        <item x="3"/>
        <item x="1"/>
        <item x="2"/>
        <item x="0"/>
        <item x="4"/>
        <item m="1" x="5"/>
        <item t="default"/>
      </items>
    </pivotField>
    <pivotField showAll="0"/>
    <pivotField numFmtId="165" showAll="0"/>
    <pivotField dataField="1" numFmtId="165" showAll="0"/>
  </pivotFields>
  <rowFields count="1">
    <field x="1"/>
  </rowFields>
  <rowItems count="6">
    <i>
      <x v="1"/>
    </i>
    <i>
      <x v="2"/>
    </i>
    <i>
      <x v="3"/>
    </i>
    <i>
      <x v="4"/>
    </i>
    <i>
      <x v="5"/>
    </i>
    <i t="grand">
      <x/>
    </i>
  </rowItems>
  <colItems count="1">
    <i/>
  </colItems>
  <dataFields count="1">
    <dataField name="Sum of Actual Amount" fld="4" baseField="0"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4A1BBA-9222-4F0B-913A-584B304C8B23}"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rowHeaderCaption="Source">
  <location ref="N2:O7" firstHeaderRow="1" firstDataRow="1" firstDataCol="1"/>
  <pivotFields count="5">
    <pivotField showAll="0"/>
    <pivotField axis="axisRow" showAll="0">
      <items count="8">
        <item m="1" x="6"/>
        <item x="3"/>
        <item x="1"/>
        <item x="2"/>
        <item x="0"/>
        <item h="1" x="4"/>
        <item m="1" x="5"/>
        <item t="default"/>
      </items>
    </pivotField>
    <pivotField showAll="0"/>
    <pivotField showAll="0"/>
    <pivotField dataField="1" showAll="0"/>
  </pivotFields>
  <rowFields count="1">
    <field x="1"/>
  </rowFields>
  <rowItems count="5">
    <i>
      <x v="1"/>
    </i>
    <i>
      <x v="2"/>
    </i>
    <i>
      <x v="3"/>
    </i>
    <i>
      <x v="4"/>
    </i>
    <i t="grand">
      <x/>
    </i>
  </rowItems>
  <colItems count="1">
    <i/>
  </colItems>
  <dataFields count="1">
    <dataField name="Amount" fld="4" baseField="1" baseItem="0"/>
  </dataFields>
  <formats count="39">
    <format dxfId="93">
      <pivotArea outline="0" collapsedLevelsAreSubtotals="1" fieldPosition="0"/>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axis="axisValues" fieldPosition="0"/>
    </format>
    <format dxfId="86">
      <pivotArea field="1" type="button" dataOnly="0" labelOnly="1" outline="0" axis="axisRow" fieldPosition="0"/>
    </format>
    <format dxfId="85">
      <pivotArea dataOnly="0" labelOnly="1" outline="0" axis="axisValues" fieldPosition="0"/>
    </format>
    <format dxfId="84">
      <pivotArea field="1" type="button" dataOnly="0" labelOnly="1" outline="0" axis="axisRow" fieldPosition="0"/>
    </format>
    <format dxfId="83">
      <pivotArea dataOnly="0" labelOnly="1" outline="0" axis="axisValues" fieldPosition="0"/>
    </format>
    <format dxfId="82">
      <pivotArea dataOnly="0" grandRow="1" fieldPosition="0"/>
    </format>
    <format dxfId="81">
      <pivotArea outline="0" collapsedLevelsAreSubtotals="1" fieldPosition="0"/>
    </format>
    <format dxfId="80">
      <pivotArea dataOnly="0" labelOnly="1" outline="0" axis="axisValues" fieldPosition="0"/>
    </format>
    <format dxfId="79">
      <pivotArea collapsedLevelsAreSubtotals="1" fieldPosition="0">
        <references count="1">
          <reference field="1" count="0"/>
        </references>
      </pivotArea>
    </format>
    <format dxfId="78">
      <pivotArea grandRow="1" outline="0" collapsedLevelsAreSubtotals="1"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grandRow="1" outline="0" fieldPosition="0"/>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grandRow="1" outline="0" fieldPosition="0"/>
    </format>
    <format dxfId="68">
      <pivotArea dataOnly="0" labelOnly="1" outline="0" axis="axisValues" fieldPosition="0"/>
    </format>
    <format dxfId="67">
      <pivotArea type="all" dataOnly="0" outline="0" fieldPosition="0"/>
    </format>
    <format dxfId="66">
      <pivotArea outline="0" collapsedLevelsAreSubtotals="1" fieldPosition="0"/>
    </format>
    <format dxfId="65">
      <pivotArea field="1" type="button" dataOnly="0" labelOnly="1" outline="0" axis="axisRow" fieldPosition="0"/>
    </format>
    <format dxfId="64">
      <pivotArea dataOnly="0" labelOnly="1" grandRow="1" outline="0" fieldPosition="0"/>
    </format>
    <format dxfId="63">
      <pivotArea dataOnly="0" labelOnly="1" outline="0" axis="axisValues" fieldPosition="0"/>
    </format>
    <format dxfId="62">
      <pivotArea field="1" type="button" dataOnly="0" labelOnly="1" outline="0" axis="axisRow" fieldPosition="0"/>
    </format>
    <format dxfId="61">
      <pivotArea dataOnly="0" labelOnly="1" outline="0" axis="axisValues" fieldPosition="0"/>
    </format>
    <format dxfId="60">
      <pivotArea dataOnly="0" labelOnly="1" fieldPosition="0">
        <references count="1">
          <reference field="1" count="0"/>
        </references>
      </pivotArea>
    </format>
    <format dxfId="59">
      <pivotArea dataOnly="0" labelOnly="1" fieldPosition="0">
        <references count="1">
          <reference field="1" count="0"/>
        </references>
      </pivotArea>
    </format>
    <format dxfId="58">
      <pivotArea collapsedLevelsAreSubtotals="1" fieldPosition="0">
        <references count="1">
          <reference field="1" count="0"/>
        </references>
      </pivotArea>
    </format>
    <format dxfId="57">
      <pivotArea collapsedLevelsAreSubtotals="1" fieldPosition="0">
        <references count="1">
          <reference field="1" count="0"/>
        </references>
      </pivotArea>
    </format>
    <format dxfId="56">
      <pivotArea collapsedLevelsAreSubtotals="1" fieldPosition="0">
        <references count="1">
          <reference field="1" count="0"/>
        </references>
      </pivotArea>
    </format>
    <format dxfId="55">
      <pivotArea dataOnly="0" labelOnly="1" fieldPosition="0">
        <references count="1">
          <reference field="1" count="0"/>
        </references>
      </pivotArea>
    </format>
  </formats>
  <chartFormats count="2">
    <chartFormat chart="0"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2A7290-12B7-403D-B1D1-6902FA7CB1D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K20:L25" firstHeaderRow="1" firstDataRow="1" firstDataCol="1"/>
  <pivotFields count="6">
    <pivotField showAll="0"/>
    <pivotField showAll="0"/>
    <pivotField axis="axisRow" showAll="0">
      <items count="9">
        <item x="2"/>
        <item x="1"/>
        <item x="3"/>
        <item m="1" x="6"/>
        <item h="1" x="4"/>
        <item m="1" x="7"/>
        <item x="0"/>
        <item m="1" x="5"/>
        <item t="default"/>
      </items>
    </pivotField>
    <pivotField showAll="0"/>
    <pivotField showAll="0"/>
    <pivotField dataField="1" showAll="0"/>
  </pivotFields>
  <rowFields count="1">
    <field x="2"/>
  </rowFields>
  <rowItems count="5">
    <i>
      <x/>
    </i>
    <i>
      <x v="1"/>
    </i>
    <i>
      <x v="2"/>
    </i>
    <i>
      <x v="6"/>
    </i>
    <i t="grand">
      <x/>
    </i>
  </rowItems>
  <colItems count="1">
    <i/>
  </colItems>
  <dataFields count="1">
    <dataField name="Sum of Amount" fld="5" baseField="0" baseItem="0"/>
  </dataFields>
  <formats count="23">
    <format dxfId="54">
      <pivotArea collapsedLevelsAreSubtotals="1" fieldPosition="0">
        <references count="1">
          <reference field="2" count="0"/>
        </references>
      </pivotArea>
    </format>
    <format dxfId="53">
      <pivotArea grandRow="1" outline="0" collapsedLevelsAreSubtotals="1" fieldPosition="0"/>
    </format>
    <format dxfId="52">
      <pivotArea field="2" type="button" dataOnly="0" labelOnly="1" outline="0" axis="axisRow" fieldPosition="0"/>
    </format>
    <format dxfId="51">
      <pivotArea dataOnly="0" labelOnly="1" outline="0" axis="axisValues" fieldPosition="0"/>
    </format>
    <format dxfId="50">
      <pivotArea grandRow="1" outline="0" collapsedLevelsAreSubtotals="1" fieldPosition="0"/>
    </format>
    <format dxfId="49">
      <pivotArea dataOnly="0" labelOnly="1" grandRow="1" outline="0" fieldPosition="0"/>
    </format>
    <format dxfId="48">
      <pivotArea type="all" dataOnly="0" outline="0" fieldPosition="0"/>
    </format>
    <format dxfId="47">
      <pivotArea outline="0" collapsedLevelsAreSubtotals="1" fieldPosition="0"/>
    </format>
    <format dxfId="46">
      <pivotArea field="2" type="button" dataOnly="0" labelOnly="1" outline="0" axis="axisRow" fieldPosition="0"/>
    </format>
    <format dxfId="45">
      <pivotArea dataOnly="0" labelOnly="1" fieldPosition="0">
        <references count="1">
          <reference field="2" count="0"/>
        </references>
      </pivotArea>
    </format>
    <format dxfId="44">
      <pivotArea dataOnly="0" labelOnly="1" grandRow="1" outline="0" fieldPosition="0"/>
    </format>
    <format dxfId="43">
      <pivotArea dataOnly="0" labelOnly="1" outline="0" axis="axisValues" fieldPosition="0"/>
    </format>
    <format dxfId="42">
      <pivotArea field="2" type="button" dataOnly="0" labelOnly="1" outline="0" axis="axisRow" fieldPosition="0"/>
    </format>
    <format dxfId="41">
      <pivotArea dataOnly="0" labelOnly="1" outline="0" axis="axisValues" fieldPosition="0"/>
    </format>
    <format dxfId="40">
      <pivotArea field="2" type="button" dataOnly="0" labelOnly="1" outline="0" axis="axisRow" fieldPosition="0"/>
    </format>
    <format dxfId="39">
      <pivotArea dataOnly="0" labelOnly="1" outline="0" axis="axisValues" fieldPosition="0"/>
    </format>
    <format dxfId="38">
      <pivotArea field="2" type="button" dataOnly="0" labelOnly="1" outline="0" axis="axisRow" fieldPosition="0"/>
    </format>
    <format dxfId="37">
      <pivotArea dataOnly="0" labelOnly="1" outline="0" axis="axisValues" fieldPosition="0"/>
    </format>
    <format dxfId="36">
      <pivotArea dataOnly="0" grandRow="1" axis="axisRow" fieldPosition="0"/>
    </format>
    <format dxfId="35">
      <pivotArea dataOnly="0" grandRow="1" axis="axisRow" fieldPosition="0"/>
    </format>
    <format dxfId="34">
      <pivotArea dataOnly="0" grandRow="1" axis="axisRow" fieldPosition="0"/>
    </format>
    <format dxfId="33">
      <pivotArea field="2" type="button" dataOnly="0" labelOnly="1" outline="0" axis="axisRow" fieldPosition="0"/>
    </format>
    <format dxfId="32">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67867A-1006-485F-8F91-4A0FA125AA7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K4:M9" firstHeaderRow="0" firstDataRow="1" firstDataCol="1"/>
  <pivotFields count="8">
    <pivotField axis="axisRow" showAll="0">
      <items count="13">
        <item m="1" x="5"/>
        <item m="1" x="7"/>
        <item m="1" x="8"/>
        <item m="1" x="6"/>
        <item m="1" x="9"/>
        <item h="1" x="4"/>
        <item m="1" x="10"/>
        <item m="1" x="11"/>
        <item x="0"/>
        <item x="1"/>
        <item x="2"/>
        <item x="3"/>
        <item t="default"/>
      </items>
    </pivotField>
    <pivotField dataField="1" showAll="0"/>
    <pivotField showAll="0"/>
    <pivotField showAll="0"/>
    <pivotField dataField="1" showAll="0"/>
    <pivotField showAll="0"/>
    <pivotField showAll="0"/>
    <pivotField showAll="0"/>
  </pivotFields>
  <rowFields count="1">
    <field x="0"/>
  </rowFields>
  <rowItems count="5">
    <i>
      <x v="8"/>
    </i>
    <i>
      <x v="9"/>
    </i>
    <i>
      <x v="10"/>
    </i>
    <i>
      <x v="11"/>
    </i>
    <i t="grand">
      <x/>
    </i>
  </rowItems>
  <colFields count="1">
    <field x="-2"/>
  </colFields>
  <colItems count="2">
    <i>
      <x/>
    </i>
    <i i="1">
      <x v="1"/>
    </i>
  </colItems>
  <dataFields count="2">
    <dataField name="Sum of Target Amount" fld="1" baseField="0" baseItem="0"/>
    <dataField name="Sum of Amount Saved" fld="4" baseField="0" baseItem="0"/>
  </dataFields>
  <formats count="32">
    <format dxfId="31">
      <pivotArea field="0" type="button" dataOnly="0" labelOnly="1" outline="0" axis="axisRow" fieldPosition="0"/>
    </format>
    <format dxfId="30">
      <pivotArea dataOnly="0" labelOnly="1" outline="0" fieldPosition="0">
        <references count="1">
          <reference field="4294967294" count="2">
            <x v="0"/>
            <x v="1"/>
          </reference>
        </references>
      </pivotArea>
    </format>
    <format dxfId="29">
      <pivotArea grandRow="1" outline="0" collapsedLevelsAreSubtotals="1" fieldPosition="0"/>
    </format>
    <format dxfId="28">
      <pivotArea dataOnly="0" labelOnly="1" grandRow="1" outline="0" fieldPosition="0"/>
    </format>
    <format dxfId="27">
      <pivotArea type="all" dataOnly="0" outline="0" fieldPosition="0"/>
    </format>
    <format dxfId="26">
      <pivotArea outline="0" collapsedLevelsAreSubtotals="1" fieldPosition="0"/>
    </format>
    <format dxfId="25">
      <pivotArea field="0" type="button" dataOnly="0" labelOnly="1" outline="0" axis="axisRow" fieldPosition="0"/>
    </format>
    <format dxfId="24">
      <pivotArea dataOnly="0" labelOnly="1" fieldPosition="0">
        <references count="1">
          <reference field="0" count="0"/>
        </references>
      </pivotArea>
    </format>
    <format dxfId="23">
      <pivotArea dataOnly="0" labelOnly="1" grandRow="1" outline="0" fieldPosition="0"/>
    </format>
    <format dxfId="22">
      <pivotArea dataOnly="0" labelOnly="1" outline="0" fieldPosition="0">
        <references count="1">
          <reference field="4294967294" count="2">
            <x v="0"/>
            <x v="1"/>
          </reference>
        </references>
      </pivotArea>
    </format>
    <format dxfId="21">
      <pivotArea dataOnly="0" outline="0" fieldPosition="0">
        <references count="1">
          <reference field="4294967294" count="1">
            <x v="0"/>
          </reference>
        </references>
      </pivotArea>
    </format>
    <format dxfId="20">
      <pivotArea dataOnly="0" labelOnly="1" outline="0" fieldPosition="0">
        <references count="1">
          <reference field="4294967294" count="1">
            <x v="1"/>
          </reference>
        </references>
      </pivotArea>
    </format>
    <format dxfId="19">
      <pivotArea collapsedLevelsAreSubtotals="1" fieldPosition="0">
        <references count="2">
          <reference field="4294967294" count="1" selected="0">
            <x v="1"/>
          </reference>
          <reference field="0" count="0"/>
        </references>
      </pivotArea>
    </format>
    <format dxfId="18">
      <pivotArea field="0" grandRow="1" outline="0" collapsedLevelsAreSubtotals="1" axis="axisRow" fieldPosition="0">
        <references count="1">
          <reference field="4294967294" count="1" selected="0">
            <x v="1"/>
          </reference>
        </references>
      </pivotArea>
    </format>
    <format dxfId="17">
      <pivotArea field="0" type="button" dataOnly="0" labelOnly="1" outline="0" axis="axisRow" fieldPosition="0"/>
    </format>
    <format dxfId="16">
      <pivotArea dataOnly="0" labelOnly="1" outline="0" fieldPosition="0">
        <references count="1">
          <reference field="4294967294" count="2">
            <x v="0"/>
            <x v="1"/>
          </reference>
        </references>
      </pivotArea>
    </format>
    <format dxfId="15">
      <pivotArea field="0" type="button" dataOnly="0" labelOnly="1" outline="0" axis="axisRow" fieldPosition="0"/>
    </format>
    <format dxfId="14">
      <pivotArea dataOnly="0" labelOnly="1" outline="0" fieldPosition="0">
        <references count="1">
          <reference field="4294967294" count="2">
            <x v="0"/>
            <x v="1"/>
          </reference>
        </references>
      </pivotArea>
    </format>
    <format dxfId="13">
      <pivotArea field="0" type="button" dataOnly="0" labelOnly="1" outline="0" axis="axisRow" fieldPosition="0"/>
    </format>
    <format dxfId="12">
      <pivotArea dataOnly="0" labelOnly="1" outline="0" fieldPosition="0">
        <references count="1">
          <reference field="4294967294" count="2">
            <x v="0"/>
            <x v="1"/>
          </reference>
        </references>
      </pivotArea>
    </format>
    <format dxfId="11">
      <pivotArea outline="0" collapsedLevelsAreSubtotals="1" fieldPosition="0"/>
    </format>
    <format dxfId="10">
      <pivotArea dataOnly="0" labelOnly="1" grandRow="1" outline="0" fieldPosition="0"/>
    </format>
    <format dxfId="9">
      <pivotArea outline="0" collapsedLevelsAreSubtotals="1" fieldPosition="0"/>
    </format>
    <format dxfId="8">
      <pivotArea dataOnly="0" labelOnly="1" grandRow="1" outline="0" fieldPosition="0"/>
    </format>
    <format dxfId="7">
      <pivotArea outline="0" collapsedLevelsAreSubtotals="1" fieldPosition="0"/>
    </format>
    <format dxfId="6">
      <pivotArea dataOnly="0" labelOnly="1" grandRow="1" outline="0" fieldPosition="0"/>
    </format>
    <format dxfId="5">
      <pivotArea field="0" type="button" dataOnly="0" labelOnly="1" outline="0" axis="axisRow" fieldPosition="0"/>
    </format>
    <format dxfId="4">
      <pivotArea dataOnly="0" labelOnly="1" outline="0" fieldPosition="0">
        <references count="1">
          <reference field="4294967294" count="2">
            <x v="0"/>
            <x v="1"/>
          </reference>
        </references>
      </pivotArea>
    </format>
    <format dxfId="3">
      <pivotArea collapsedLevelsAreSubtotals="1" fieldPosition="0">
        <references count="1">
          <reference field="0" count="0"/>
        </references>
      </pivotArea>
    </format>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dataOnly="0" labelOnly="1" fieldPosition="0">
        <references count="1">
          <reference field="0" count="0"/>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69CE8A43-23E3-6D2F-D56B-4CBB3CF020A1}">
  <we:reference id="wa102957665" version="1.3.0.0" store="en-US" storeType="OMEX"/>
  <we:alternateReferences>
    <we:reference id="wa102957665" version="1.3.0.0" store="wa102957665" storeType="OMEX"/>
  </we:alternateReferences>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B3B42-F190-43B5-AF12-7AC98EB16D50}">
  <sheetPr codeName="Sheet6"/>
  <dimension ref="A3:B9"/>
  <sheetViews>
    <sheetView workbookViewId="0">
      <selection activeCell="C10" sqref="A2:C10"/>
    </sheetView>
  </sheetViews>
  <sheetFormatPr baseColWidth="10" defaultColWidth="8.83203125" defaultRowHeight="16" x14ac:dyDescent="0.2"/>
  <cols>
    <col min="1" max="1" width="12.1640625" bestFit="1" customWidth="1"/>
    <col min="2" max="2" width="19.5" bestFit="1" customWidth="1"/>
  </cols>
  <sheetData>
    <row r="3" spans="1:2" x14ac:dyDescent="0.2">
      <c r="A3" s="23" t="s">
        <v>36</v>
      </c>
      <c r="B3" t="s">
        <v>37</v>
      </c>
    </row>
    <row r="4" spans="1:2" x14ac:dyDescent="0.2">
      <c r="A4" s="14" t="s">
        <v>81</v>
      </c>
      <c r="B4" s="10">
        <v>1000</v>
      </c>
    </row>
    <row r="5" spans="1:2" x14ac:dyDescent="0.2">
      <c r="A5" s="14" t="s">
        <v>34</v>
      </c>
      <c r="B5" s="10">
        <v>500</v>
      </c>
    </row>
    <row r="6" spans="1:2" x14ac:dyDescent="0.2">
      <c r="A6" s="14" t="s">
        <v>59</v>
      </c>
      <c r="B6" s="10">
        <v>1000</v>
      </c>
    </row>
    <row r="7" spans="1:2" x14ac:dyDescent="0.2">
      <c r="A7" s="14" t="s">
        <v>69</v>
      </c>
      <c r="B7" s="10">
        <v>1250</v>
      </c>
    </row>
    <row r="8" spans="1:2" x14ac:dyDescent="0.2">
      <c r="A8" s="14" t="s">
        <v>44</v>
      </c>
      <c r="B8" s="10"/>
    </row>
    <row r="9" spans="1:2" x14ac:dyDescent="0.2">
      <c r="A9" s="14" t="s">
        <v>35</v>
      </c>
      <c r="B9" s="10">
        <v>3750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524F2-5E0A-8F40-8E7E-FF16F35FD960}">
  <sheetPr codeName="Sheet1"/>
  <dimension ref="A1:Y25"/>
  <sheetViews>
    <sheetView tabSelected="1" zoomScale="75" zoomScaleNormal="52" workbookViewId="0">
      <selection activeCell="H11" sqref="H11"/>
    </sheetView>
  </sheetViews>
  <sheetFormatPr baseColWidth="10" defaultColWidth="11" defaultRowHeight="16" x14ac:dyDescent="0.2"/>
  <cols>
    <col min="2" max="2" width="13.83203125" bestFit="1" customWidth="1"/>
    <col min="4" max="4" width="11" customWidth="1"/>
    <col min="5" max="5" width="19.5" customWidth="1"/>
    <col min="6" max="6" width="14.1640625" customWidth="1"/>
    <col min="7" max="7" width="17" bestFit="1" customWidth="1"/>
    <col min="11" max="11" width="13.6640625" customWidth="1"/>
    <col min="12" max="12" width="18.83203125" customWidth="1"/>
    <col min="13" max="13" width="19.83203125" customWidth="1"/>
    <col min="15" max="15" width="21.33203125" bestFit="1" customWidth="1"/>
    <col min="16" max="16" width="18.6640625" bestFit="1" customWidth="1"/>
    <col min="18" max="18" width="11" customWidth="1"/>
  </cols>
  <sheetData>
    <row r="1" spans="1:25" ht="47" x14ac:dyDescent="0.55000000000000004">
      <c r="A1" s="65" t="s">
        <v>0</v>
      </c>
      <c r="B1" s="66"/>
      <c r="C1" s="66"/>
      <c r="D1" s="66"/>
      <c r="E1" s="66"/>
      <c r="F1" s="66"/>
      <c r="G1" s="66"/>
      <c r="H1" s="66"/>
      <c r="I1" s="66"/>
      <c r="J1" s="66"/>
      <c r="K1" s="66"/>
      <c r="L1" s="66"/>
      <c r="M1" s="66"/>
      <c r="N1" s="66"/>
      <c r="O1" s="66"/>
      <c r="P1" s="66"/>
      <c r="Q1" s="66"/>
      <c r="R1" s="66"/>
      <c r="S1" s="66"/>
      <c r="T1" s="66"/>
      <c r="U1" s="66"/>
      <c r="V1" s="66"/>
      <c r="W1" s="66"/>
      <c r="X1" s="66"/>
      <c r="Y1" s="66"/>
    </row>
    <row r="2" spans="1:25" s="27" customFormat="1" ht="28.75" customHeight="1" x14ac:dyDescent="0.55000000000000004">
      <c r="A2" s="28"/>
      <c r="B2" s="28"/>
      <c r="C2" s="28"/>
      <c r="D2" s="28"/>
      <c r="E2" s="28"/>
      <c r="F2" s="29"/>
      <c r="G2" s="28"/>
      <c r="H2" s="28"/>
      <c r="I2" s="28"/>
      <c r="J2" s="28"/>
      <c r="K2" s="28"/>
      <c r="L2" s="28"/>
      <c r="M2" s="28"/>
      <c r="N2" s="28"/>
      <c r="O2" s="28"/>
      <c r="P2" s="28"/>
      <c r="Q2" s="28"/>
      <c r="R2" s="28"/>
      <c r="S2" s="28"/>
      <c r="T2" s="28"/>
      <c r="U2" s="28"/>
      <c r="V2" s="28"/>
      <c r="W2" s="28"/>
      <c r="X2" s="28"/>
      <c r="Y2" s="28"/>
    </row>
    <row r="3" spans="1:25" s="27" customFormat="1" ht="28.75" customHeight="1" x14ac:dyDescent="0.55000000000000004">
      <c r="A3" s="28"/>
      <c r="B3" s="28"/>
      <c r="C3" s="28"/>
      <c r="D3" s="86" t="s">
        <v>4</v>
      </c>
      <c r="E3" s="87">
        <f ca="1">TODAY()</f>
        <v>45656</v>
      </c>
      <c r="F3" s="88"/>
      <c r="G3" s="28"/>
      <c r="H3" s="28"/>
      <c r="I3" s="28"/>
      <c r="J3" s="28"/>
      <c r="K3" s="89" t="s">
        <v>46</v>
      </c>
      <c r="L3" s="89"/>
      <c r="M3" s="90">
        <f>Income!H3</f>
        <v>3750</v>
      </c>
      <c r="N3" s="28"/>
      <c r="O3" s="93" t="s">
        <v>51</v>
      </c>
      <c r="P3" s="93"/>
      <c r="Q3" s="93" t="str">
        <f>INDEX(Goals!B4:B100, MATCH(MIN(Goals!I4:I100), Goals!I4:I100, 0))</f>
        <v>Birthday presents for Mom</v>
      </c>
      <c r="R3" s="93"/>
      <c r="S3" s="93"/>
      <c r="T3" s="93"/>
      <c r="U3" s="28"/>
      <c r="V3" s="28"/>
      <c r="W3" s="28"/>
      <c r="X3" s="28"/>
      <c r="Y3" s="28"/>
    </row>
    <row r="4" spans="1:25" s="27" customFormat="1" ht="28.75" customHeight="1" x14ac:dyDescent="0.55000000000000004">
      <c r="A4" s="28"/>
      <c r="B4" s="28"/>
      <c r="C4" s="28"/>
      <c r="D4" s="28"/>
      <c r="F4" s="28"/>
      <c r="G4" s="28"/>
      <c r="H4" s="28"/>
      <c r="I4" s="28"/>
      <c r="J4" s="28"/>
      <c r="K4" s="31"/>
      <c r="L4" s="31"/>
      <c r="M4" s="30"/>
      <c r="N4" s="28"/>
      <c r="O4" s="28"/>
      <c r="P4" s="28"/>
      <c r="Q4" s="28"/>
      <c r="R4" s="28"/>
      <c r="S4" s="28"/>
      <c r="T4" s="28"/>
      <c r="U4" s="28"/>
      <c r="V4" s="28"/>
      <c r="W4" s="28"/>
      <c r="X4" s="28"/>
      <c r="Y4" s="28"/>
    </row>
    <row r="5" spans="1:25" s="27" customFormat="1" ht="28.75" customHeight="1" x14ac:dyDescent="0.55000000000000004">
      <c r="A5" s="28"/>
      <c r="B5" s="28"/>
      <c r="C5" s="28"/>
      <c r="D5" s="94" t="s">
        <v>43</v>
      </c>
      <c r="E5" s="95"/>
      <c r="F5" s="86">
        <f ca="1">EOMONTH(TODAY(),0)-TODAY()</f>
        <v>1</v>
      </c>
      <c r="G5" s="24"/>
      <c r="H5" s="28"/>
      <c r="I5" s="28"/>
      <c r="J5" s="28" t="s">
        <v>42</v>
      </c>
      <c r="K5" s="91" t="s">
        <v>47</v>
      </c>
      <c r="L5" s="91"/>
      <c r="M5" s="92">
        <f>Expenses!I3</f>
        <v>804.09</v>
      </c>
      <c r="N5" s="28"/>
      <c r="O5" s="93" t="s">
        <v>50</v>
      </c>
      <c r="P5" s="93"/>
      <c r="Q5" s="93">
        <f>MIN(Goals!I4:I100)</f>
        <v>8</v>
      </c>
      <c r="R5" s="93"/>
      <c r="S5" s="93"/>
      <c r="T5" s="93"/>
      <c r="U5" s="28"/>
      <c r="V5" s="28"/>
      <c r="W5" s="28"/>
      <c r="X5" s="28"/>
      <c r="Y5" s="28"/>
    </row>
    <row r="6" spans="1:25" s="27" customFormat="1" ht="28.75" customHeight="1" x14ac:dyDescent="0.55000000000000004">
      <c r="A6" s="28"/>
      <c r="B6" s="28"/>
      <c r="C6" s="28"/>
      <c r="D6" s="28"/>
      <c r="E6" s="28"/>
      <c r="F6" s="28"/>
      <c r="G6" s="28"/>
      <c r="H6" s="28"/>
      <c r="I6" s="28"/>
      <c r="J6" s="28"/>
      <c r="K6" s="28"/>
      <c r="L6" s="28"/>
      <c r="M6" s="28"/>
      <c r="N6" s="28"/>
      <c r="O6" s="28"/>
      <c r="P6" s="28"/>
      <c r="Q6" s="28"/>
      <c r="R6" s="28"/>
      <c r="S6" s="28"/>
      <c r="T6" s="28"/>
      <c r="U6" s="28"/>
      <c r="V6" s="28"/>
      <c r="W6" s="28"/>
      <c r="X6" s="28"/>
      <c r="Y6" s="28"/>
    </row>
    <row r="8" spans="1:25" ht="29" x14ac:dyDescent="0.35">
      <c r="A8" s="67" t="s">
        <v>39</v>
      </c>
      <c r="B8" s="67"/>
      <c r="C8" s="67"/>
      <c r="D8" s="67"/>
      <c r="E8" s="67"/>
      <c r="F8" s="67"/>
      <c r="G8" s="67"/>
      <c r="I8" s="69" t="s">
        <v>40</v>
      </c>
      <c r="J8" s="69"/>
      <c r="K8" s="69"/>
      <c r="L8" s="69"/>
      <c r="M8" s="69"/>
      <c r="N8" s="69"/>
      <c r="O8" s="69"/>
      <c r="P8" s="69"/>
      <c r="R8" s="68" t="s">
        <v>41</v>
      </c>
      <c r="S8" s="68"/>
      <c r="T8" s="68"/>
      <c r="U8" s="68"/>
      <c r="V8" s="68"/>
      <c r="W8" s="68"/>
      <c r="X8" s="68"/>
      <c r="Y8" s="68"/>
    </row>
    <row r="9" spans="1:25" ht="15.5" customHeight="1" x14ac:dyDescent="0.2">
      <c r="D9" s="26"/>
      <c r="E9" s="26"/>
      <c r="F9" s="26"/>
    </row>
    <row r="10" spans="1:25" x14ac:dyDescent="0.2">
      <c r="D10" s="26"/>
      <c r="E10" s="26"/>
      <c r="F10" s="26"/>
    </row>
    <row r="11" spans="1:25" x14ac:dyDescent="0.2">
      <c r="D11" s="26"/>
      <c r="E11" s="26"/>
      <c r="F11" s="26"/>
    </row>
    <row r="12" spans="1:25" x14ac:dyDescent="0.2">
      <c r="D12" s="26"/>
      <c r="E12" s="26"/>
      <c r="F12" s="26"/>
    </row>
    <row r="13" spans="1:25" x14ac:dyDescent="0.2">
      <c r="D13" s="26"/>
      <c r="E13" s="26"/>
      <c r="F13" s="26"/>
    </row>
    <row r="25" spans="8:8" x14ac:dyDescent="0.2">
      <c r="H25" t="s">
        <v>42</v>
      </c>
    </row>
  </sheetData>
  <mergeCells count="12">
    <mergeCell ref="A1:Y1"/>
    <mergeCell ref="A8:G8"/>
    <mergeCell ref="R8:Y8"/>
    <mergeCell ref="E3:F3"/>
    <mergeCell ref="K3:L3"/>
    <mergeCell ref="K5:L5"/>
    <mergeCell ref="O3:P3"/>
    <mergeCell ref="Q3:T3"/>
    <mergeCell ref="O5:P5"/>
    <mergeCell ref="Q5:T5"/>
    <mergeCell ref="D5:E5"/>
    <mergeCell ref="I8:P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C660-057B-8644-9A37-F960CBDC63EE}">
  <sheetPr codeName="Sheet2"/>
  <dimension ref="B2:P29"/>
  <sheetViews>
    <sheetView zoomScale="75" zoomScaleNormal="91" workbookViewId="0">
      <selection activeCell="N2" sqref="N2"/>
    </sheetView>
  </sheetViews>
  <sheetFormatPr baseColWidth="10" defaultColWidth="11" defaultRowHeight="16" x14ac:dyDescent="0.2"/>
  <cols>
    <col min="2" max="2" width="12.83203125" bestFit="1" customWidth="1"/>
    <col min="3" max="3" width="14.1640625" customWidth="1"/>
    <col min="4" max="4" width="19.1640625" customWidth="1"/>
    <col min="5" max="5" width="20.1640625" style="8" customWidth="1"/>
    <col min="6" max="6" width="17.6640625" style="10" customWidth="1"/>
    <col min="10" max="10" width="20" customWidth="1"/>
    <col min="11" max="11" width="14.1640625" style="19" customWidth="1"/>
    <col min="12" max="12" width="12.5" customWidth="1"/>
    <col min="13" max="13" width="15.1640625" customWidth="1"/>
    <col min="14" max="14" width="12.83203125" bestFit="1" customWidth="1"/>
    <col min="15" max="15" width="11.1640625" style="16" bestFit="1" customWidth="1"/>
  </cols>
  <sheetData>
    <row r="2" spans="2:16" ht="24" x14ac:dyDescent="0.3">
      <c r="B2" s="70" t="s">
        <v>1</v>
      </c>
      <c r="C2" s="71"/>
      <c r="D2" s="71"/>
      <c r="E2" s="71"/>
      <c r="F2" s="71"/>
      <c r="H2" s="50" t="s">
        <v>2</v>
      </c>
      <c r="J2" s="70" t="s">
        <v>3</v>
      </c>
      <c r="K2" s="70"/>
      <c r="L2" s="70"/>
      <c r="N2" s="42" t="s">
        <v>5</v>
      </c>
      <c r="O2" s="42" t="s">
        <v>21</v>
      </c>
    </row>
    <row r="3" spans="2:16" ht="19" x14ac:dyDescent="0.25">
      <c r="B3" s="36" t="s">
        <v>4</v>
      </c>
      <c r="C3" s="36" t="s">
        <v>5</v>
      </c>
      <c r="D3" s="36" t="s">
        <v>6</v>
      </c>
      <c r="E3" s="37" t="s">
        <v>7</v>
      </c>
      <c r="F3" s="38" t="s">
        <v>8</v>
      </c>
      <c r="H3" s="5">
        <f>SUM(F4:F101)</f>
        <v>3750</v>
      </c>
      <c r="J3" s="39" t="s">
        <v>9</v>
      </c>
      <c r="K3" s="18">
        <v>0.6</v>
      </c>
      <c r="L3" s="5">
        <f>K3*H3</f>
        <v>2250</v>
      </c>
      <c r="N3" s="59" t="s">
        <v>81</v>
      </c>
      <c r="O3" s="60">
        <v>1000</v>
      </c>
    </row>
    <row r="4" spans="2:16" x14ac:dyDescent="0.2">
      <c r="B4" s="3">
        <v>45623</v>
      </c>
      <c r="C4" s="3" t="s">
        <v>69</v>
      </c>
      <c r="D4" s="2" t="s">
        <v>70</v>
      </c>
      <c r="E4" s="7">
        <v>1200</v>
      </c>
      <c r="F4" s="9">
        <v>1250</v>
      </c>
      <c r="J4" s="39" t="s">
        <v>11</v>
      </c>
      <c r="K4" s="18">
        <v>0.4</v>
      </c>
      <c r="L4" s="5">
        <f>H3*K4</f>
        <v>1500</v>
      </c>
      <c r="N4" s="59" t="s">
        <v>34</v>
      </c>
      <c r="O4" s="60">
        <v>500</v>
      </c>
      <c r="P4" s="35" t="s">
        <v>58</v>
      </c>
    </row>
    <row r="5" spans="2:16" x14ac:dyDescent="0.2">
      <c r="B5" s="3">
        <v>45623</v>
      </c>
      <c r="C5" s="2" t="s">
        <v>34</v>
      </c>
      <c r="D5" s="2" t="s">
        <v>71</v>
      </c>
      <c r="E5" s="7">
        <v>500</v>
      </c>
      <c r="F5" s="9">
        <v>500</v>
      </c>
      <c r="N5" s="59" t="s">
        <v>59</v>
      </c>
      <c r="O5" s="60">
        <v>1000</v>
      </c>
      <c r="P5" s="35" t="s">
        <v>63</v>
      </c>
    </row>
    <row r="6" spans="2:16" x14ac:dyDescent="0.2">
      <c r="B6" s="3">
        <v>45623</v>
      </c>
      <c r="C6" s="2" t="s">
        <v>59</v>
      </c>
      <c r="D6" s="2" t="s">
        <v>60</v>
      </c>
      <c r="E6" s="7">
        <v>1000</v>
      </c>
      <c r="F6" s="9">
        <v>1000</v>
      </c>
      <c r="N6" s="59" t="s">
        <v>69</v>
      </c>
      <c r="O6" s="60">
        <v>1250</v>
      </c>
      <c r="P6" s="35" t="s">
        <v>65</v>
      </c>
    </row>
    <row r="7" spans="2:16" x14ac:dyDescent="0.2">
      <c r="B7" s="3">
        <v>45624</v>
      </c>
      <c r="C7" s="2" t="s">
        <v>81</v>
      </c>
      <c r="D7" s="2" t="s">
        <v>82</v>
      </c>
      <c r="E7" s="7">
        <v>1000</v>
      </c>
      <c r="F7" s="9">
        <v>1000</v>
      </c>
      <c r="J7" t="s">
        <v>31</v>
      </c>
      <c r="N7" s="40" t="s">
        <v>35</v>
      </c>
      <c r="O7" s="41">
        <v>3750</v>
      </c>
    </row>
    <row r="8" spans="2:16" x14ac:dyDescent="0.2">
      <c r="B8" s="3"/>
      <c r="C8" s="2"/>
      <c r="D8" s="2"/>
      <c r="E8" s="7"/>
      <c r="F8" s="9"/>
      <c r="O8"/>
    </row>
    <row r="9" spans="2:16" x14ac:dyDescent="0.2">
      <c r="B9" s="3"/>
      <c r="C9" s="2"/>
      <c r="D9" s="2"/>
      <c r="E9" s="7"/>
      <c r="F9" s="9"/>
      <c r="O9"/>
    </row>
    <row r="10" spans="2:16" x14ac:dyDescent="0.2">
      <c r="B10" s="3"/>
      <c r="C10" s="2"/>
      <c r="D10" s="2"/>
      <c r="E10" s="7"/>
      <c r="F10" s="9"/>
    </row>
    <row r="11" spans="2:16" x14ac:dyDescent="0.2">
      <c r="B11" s="3"/>
      <c r="C11" s="2"/>
      <c r="D11" s="2"/>
      <c r="E11" s="7"/>
      <c r="F11" s="9"/>
      <c r="H11" s="21"/>
    </row>
    <row r="12" spans="2:16" x14ac:dyDescent="0.2">
      <c r="B12" s="3"/>
      <c r="C12" s="2"/>
      <c r="D12" s="2"/>
      <c r="E12" s="7"/>
      <c r="F12" s="9"/>
    </row>
    <row r="13" spans="2:16" x14ac:dyDescent="0.2">
      <c r="B13" s="3"/>
      <c r="C13" s="2"/>
      <c r="D13" s="2"/>
      <c r="E13" s="7"/>
      <c r="F13" s="9"/>
    </row>
    <row r="14" spans="2:16" x14ac:dyDescent="0.2">
      <c r="B14" s="3"/>
      <c r="C14" s="2"/>
      <c r="D14" s="2"/>
      <c r="E14" s="7"/>
      <c r="F14" s="9"/>
    </row>
    <row r="15" spans="2:16" x14ac:dyDescent="0.2">
      <c r="B15" s="3"/>
      <c r="C15" s="2"/>
      <c r="D15" s="2"/>
      <c r="E15" s="7"/>
      <c r="F15" s="9"/>
    </row>
    <row r="16" spans="2:16" x14ac:dyDescent="0.2">
      <c r="B16" s="3"/>
      <c r="C16" s="2"/>
      <c r="D16" s="2"/>
      <c r="E16" s="7"/>
      <c r="F16" s="9"/>
    </row>
    <row r="17" spans="2:6" x14ac:dyDescent="0.2">
      <c r="B17" s="3"/>
      <c r="C17" s="2"/>
      <c r="D17" s="2"/>
      <c r="E17" s="7"/>
      <c r="F17" s="9"/>
    </row>
    <row r="18" spans="2:6" x14ac:dyDescent="0.2">
      <c r="B18" s="3"/>
      <c r="C18" s="2"/>
      <c r="D18" s="2"/>
      <c r="E18" s="7"/>
      <c r="F18" s="9"/>
    </row>
    <row r="19" spans="2:6" x14ac:dyDescent="0.2">
      <c r="B19" s="3"/>
      <c r="C19" s="2"/>
      <c r="D19" s="2"/>
      <c r="E19" s="7"/>
      <c r="F19" s="9"/>
    </row>
    <row r="20" spans="2:6" x14ac:dyDescent="0.2">
      <c r="B20" s="3"/>
      <c r="C20" s="2"/>
      <c r="D20" s="2"/>
      <c r="E20" s="7"/>
      <c r="F20" s="9"/>
    </row>
    <row r="21" spans="2:6" x14ac:dyDescent="0.2">
      <c r="B21" s="6"/>
      <c r="C21" s="1"/>
      <c r="D21" s="1"/>
      <c r="E21" s="7"/>
      <c r="F21" s="9"/>
    </row>
    <row r="29" spans="2:6" x14ac:dyDescent="0.2">
      <c r="E29"/>
    </row>
  </sheetData>
  <autoFilter ref="C3:C25" xr:uid="{647DC660-057B-8644-9A37-F960CBDC63EE}"/>
  <mergeCells count="2">
    <mergeCell ref="B2:F2"/>
    <mergeCell ref="J2:L2"/>
  </mergeCells>
  <dataValidations count="2">
    <dataValidation type="decimal" operator="greaterThan" allowBlank="1" showInputMessage="1" showErrorMessage="1" sqref="E2:E3 E23:E1048576" xr:uid="{07F6B31F-1646-BB47-9872-E3ECEEF9DC71}">
      <formula1>0</formula1>
    </dataValidation>
    <dataValidation type="decimal" operator="greaterThan" allowBlank="1" showInputMessage="1" showErrorMessage="1" errorTitle="Error!" error="Please enter a value greater than 0! " sqref="E4:F22" xr:uid="{ABCD2304-F804-AD4A-A80E-05D5FBD2A77E}">
      <formula1>0</formula1>
    </dataValidation>
  </dataValidation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2C467-AB41-CF4A-8845-6D432037BC24}">
  <sheetPr codeName="Sheet3"/>
  <dimension ref="B1:O28"/>
  <sheetViews>
    <sheetView topLeftCell="B1" zoomScale="76" zoomScaleNormal="200" workbookViewId="0">
      <selection activeCell="I11" sqref="I11"/>
    </sheetView>
  </sheetViews>
  <sheetFormatPr baseColWidth="10" defaultColWidth="11" defaultRowHeight="16" x14ac:dyDescent="0.2"/>
  <cols>
    <col min="1" max="1" width="7.83203125" customWidth="1"/>
    <col min="2" max="2" width="11.33203125" style="14" customWidth="1"/>
    <col min="3" max="3" width="12.6640625" style="14" customWidth="1"/>
    <col min="4" max="4" width="19.1640625" style="14" customWidth="1"/>
    <col min="5" max="5" width="30.83203125" style="14" customWidth="1"/>
    <col min="6" max="6" width="27.6640625" style="14" customWidth="1"/>
    <col min="7" max="7" width="15.6640625" customWidth="1"/>
    <col min="8" max="8" width="4" customWidth="1"/>
    <col min="10" max="10" width="6.33203125" customWidth="1"/>
    <col min="11" max="11" width="18.33203125" customWidth="1"/>
    <col min="12" max="12" width="16.1640625" bestFit="1" customWidth="1"/>
    <col min="13" max="13" width="5.33203125" customWidth="1"/>
    <col min="14" max="14" width="18" customWidth="1"/>
    <col min="15" max="15" width="23.83203125" customWidth="1"/>
  </cols>
  <sheetData>
    <row r="1" spans="2:15" x14ac:dyDescent="0.2">
      <c r="B1"/>
      <c r="C1"/>
      <c r="D1"/>
      <c r="E1"/>
      <c r="F1"/>
      <c r="G1" s="16"/>
    </row>
    <row r="2" spans="2:15" ht="24" x14ac:dyDescent="0.3">
      <c r="B2" s="72" t="s">
        <v>16</v>
      </c>
      <c r="C2" s="73"/>
      <c r="D2" s="73"/>
      <c r="E2" s="73"/>
      <c r="F2" s="73"/>
      <c r="G2" s="73"/>
      <c r="I2" s="52" t="s">
        <v>2</v>
      </c>
      <c r="J2" s="28"/>
      <c r="K2" s="76" t="s">
        <v>53</v>
      </c>
      <c r="L2" s="77"/>
      <c r="N2" s="74" t="s">
        <v>33</v>
      </c>
      <c r="O2" s="75"/>
    </row>
    <row r="3" spans="2:15" ht="16" customHeight="1" x14ac:dyDescent="0.25">
      <c r="B3" s="51" t="s">
        <v>17</v>
      </c>
      <c r="C3" s="51" t="s">
        <v>18</v>
      </c>
      <c r="D3" s="51" t="s">
        <v>19</v>
      </c>
      <c r="E3" s="51" t="s">
        <v>6</v>
      </c>
      <c r="F3" s="51" t="s">
        <v>20</v>
      </c>
      <c r="G3" s="61" t="s">
        <v>21</v>
      </c>
      <c r="I3" s="5">
        <f>SUM(G4:G1001)</f>
        <v>804.09</v>
      </c>
    </row>
    <row r="4" spans="2:15" x14ac:dyDescent="0.2">
      <c r="B4" s="11">
        <v>45623</v>
      </c>
      <c r="C4" s="11">
        <v>45623</v>
      </c>
      <c r="D4" s="12" t="s">
        <v>54</v>
      </c>
      <c r="E4" s="12" t="s">
        <v>55</v>
      </c>
      <c r="F4" s="13" t="s">
        <v>56</v>
      </c>
      <c r="G4" s="9">
        <v>700</v>
      </c>
      <c r="K4" s="53" t="s">
        <v>10</v>
      </c>
      <c r="L4" s="20">
        <f>Income!L3</f>
        <v>2250</v>
      </c>
      <c r="N4" s="53" t="s">
        <v>10</v>
      </c>
      <c r="O4" s="20">
        <f>L4</f>
        <v>2250</v>
      </c>
    </row>
    <row r="5" spans="2:15" x14ac:dyDescent="0.2">
      <c r="B5" s="11">
        <v>45623</v>
      </c>
      <c r="C5" s="11">
        <v>45623</v>
      </c>
      <c r="D5" s="12" t="s">
        <v>32</v>
      </c>
      <c r="E5" s="12" t="s">
        <v>72</v>
      </c>
      <c r="F5" s="13" t="s">
        <v>57</v>
      </c>
      <c r="G5" s="9">
        <v>56.09</v>
      </c>
      <c r="K5" s="53" t="s">
        <v>12</v>
      </c>
      <c r="L5" s="5">
        <f>Income!L4</f>
        <v>1500</v>
      </c>
      <c r="N5" s="53" t="s">
        <v>12</v>
      </c>
      <c r="O5" s="5">
        <f>L5-SUMIF(F4:F1000,"Debit Card",G4:G1000)-SUMIF(F4:F1000,"Bank Transfer",G4:G1000)</f>
        <v>777</v>
      </c>
    </row>
    <row r="6" spans="2:15" x14ac:dyDescent="0.2">
      <c r="B6" s="11">
        <v>45623</v>
      </c>
      <c r="C6" s="11">
        <v>45623</v>
      </c>
      <c r="D6" s="12" t="s">
        <v>73</v>
      </c>
      <c r="E6" s="12" t="s">
        <v>74</v>
      </c>
      <c r="F6" s="13" t="s">
        <v>30</v>
      </c>
      <c r="G6" s="9">
        <v>23</v>
      </c>
      <c r="K6" s="53" t="s">
        <v>13</v>
      </c>
      <c r="L6" s="5">
        <v>200</v>
      </c>
      <c r="N6" s="53" t="s">
        <v>13</v>
      </c>
      <c r="O6" s="5">
        <f>L6-SUMIF(F4:F1000,"Cash",G4:G1000)</f>
        <v>175</v>
      </c>
    </row>
    <row r="7" spans="2:15" x14ac:dyDescent="0.2">
      <c r="B7" s="11">
        <v>45623</v>
      </c>
      <c r="C7" s="11">
        <v>45623</v>
      </c>
      <c r="D7" s="12" t="s">
        <v>75</v>
      </c>
      <c r="E7" s="12" t="s">
        <v>76</v>
      </c>
      <c r="F7" s="13" t="s">
        <v>13</v>
      </c>
      <c r="G7" s="9">
        <v>25</v>
      </c>
      <c r="K7" s="53" t="s">
        <v>14</v>
      </c>
      <c r="L7" s="5">
        <v>1900</v>
      </c>
      <c r="N7" s="53" t="s">
        <v>14</v>
      </c>
      <c r="O7" s="5">
        <f ca="1">L7-SUMIF(F4:F1000,"WatCard",G4:G100)</f>
        <v>1843.91</v>
      </c>
    </row>
    <row r="8" spans="2:15" x14ac:dyDescent="0.2">
      <c r="B8" s="11"/>
      <c r="C8" s="11"/>
      <c r="D8" s="12"/>
      <c r="E8" s="12"/>
      <c r="F8" s="13"/>
      <c r="G8" s="9"/>
      <c r="K8" s="53" t="s">
        <v>15</v>
      </c>
      <c r="L8" s="5">
        <v>200</v>
      </c>
      <c r="N8" s="53" t="s">
        <v>15</v>
      </c>
      <c r="O8" s="5">
        <f>L8-SUMIF(F4:F1000,"FlexDollars",G4:G1000)</f>
        <v>200</v>
      </c>
    </row>
    <row r="9" spans="2:15" x14ac:dyDescent="0.2">
      <c r="B9" s="11"/>
      <c r="C9" s="11"/>
      <c r="D9" s="12"/>
      <c r="E9" s="12"/>
      <c r="F9" s="13"/>
      <c r="G9" s="9"/>
    </row>
    <row r="10" spans="2:15" x14ac:dyDescent="0.2">
      <c r="B10" s="12"/>
      <c r="C10" s="11"/>
      <c r="D10" s="12"/>
      <c r="E10" s="12"/>
      <c r="F10" s="13"/>
      <c r="G10" s="9"/>
    </row>
    <row r="11" spans="2:15" x14ac:dyDescent="0.2">
      <c r="B11" s="12"/>
      <c r="C11" s="11"/>
      <c r="D11" s="12"/>
      <c r="E11" s="12"/>
      <c r="F11" s="13"/>
      <c r="G11" s="9"/>
    </row>
    <row r="12" spans="2:15" x14ac:dyDescent="0.2">
      <c r="B12" s="12"/>
      <c r="C12" s="11"/>
      <c r="D12" s="12"/>
      <c r="E12" s="12"/>
      <c r="F12" s="13"/>
      <c r="G12" s="9"/>
    </row>
    <row r="13" spans="2:15" x14ac:dyDescent="0.2">
      <c r="B13" s="12"/>
      <c r="C13" s="11"/>
      <c r="D13" s="12"/>
      <c r="E13" s="12"/>
      <c r="F13" s="13"/>
      <c r="G13" s="9"/>
    </row>
    <row r="14" spans="2:15" x14ac:dyDescent="0.2">
      <c r="B14" s="12"/>
      <c r="C14" s="11"/>
      <c r="D14" s="12"/>
      <c r="E14" s="12"/>
      <c r="F14" s="13"/>
      <c r="G14" s="9"/>
    </row>
    <row r="15" spans="2:15" x14ac:dyDescent="0.2">
      <c r="B15" s="12"/>
      <c r="C15" s="11"/>
      <c r="D15" s="12"/>
      <c r="E15" s="12"/>
      <c r="F15" s="13"/>
      <c r="G15" s="9"/>
    </row>
    <row r="16" spans="2:15" x14ac:dyDescent="0.2">
      <c r="B16" s="12"/>
      <c r="C16" s="11"/>
      <c r="D16" s="12"/>
      <c r="E16" s="12"/>
      <c r="F16" s="13"/>
      <c r="G16" s="9"/>
    </row>
    <row r="17" spans="2:12" x14ac:dyDescent="0.2">
      <c r="E17" s="15"/>
    </row>
    <row r="20" spans="2:12" ht="19" x14ac:dyDescent="0.25">
      <c r="K20" s="58" t="s">
        <v>36</v>
      </c>
      <c r="L20" s="58" t="s">
        <v>45</v>
      </c>
    </row>
    <row r="21" spans="2:12" x14ac:dyDescent="0.2">
      <c r="K21" s="12" t="s">
        <v>73</v>
      </c>
      <c r="L21" s="25">
        <v>23</v>
      </c>
    </row>
    <row r="22" spans="2:12" x14ac:dyDescent="0.2">
      <c r="K22" s="12" t="s">
        <v>32</v>
      </c>
      <c r="L22" s="25">
        <v>56.09</v>
      </c>
    </row>
    <row r="23" spans="2:12" x14ac:dyDescent="0.2">
      <c r="B23" s="22"/>
      <c r="C23" s="22"/>
      <c r="K23" s="12" t="s">
        <v>75</v>
      </c>
      <c r="L23" s="25">
        <v>25</v>
      </c>
    </row>
    <row r="24" spans="2:12" x14ac:dyDescent="0.2">
      <c r="B24" s="22"/>
      <c r="C24" s="22"/>
      <c r="K24" s="12" t="s">
        <v>54</v>
      </c>
      <c r="L24" s="25">
        <v>700</v>
      </c>
    </row>
    <row r="25" spans="2:12" x14ac:dyDescent="0.2">
      <c r="K25" s="54" t="s">
        <v>35</v>
      </c>
      <c r="L25" s="55">
        <v>804.09</v>
      </c>
    </row>
    <row r="26" spans="2:12" x14ac:dyDescent="0.2">
      <c r="K26" s="34" t="s">
        <v>64</v>
      </c>
      <c r="L26" s="33"/>
    </row>
    <row r="28" spans="2:12" x14ac:dyDescent="0.2">
      <c r="E28" s="32"/>
    </row>
  </sheetData>
  <autoFilter ref="D3:F17" xr:uid="{3942C467-AB41-CF4A-8845-6D432037BC24}"/>
  <mergeCells count="3">
    <mergeCell ref="B2:G2"/>
    <mergeCell ref="N2:O2"/>
    <mergeCell ref="K2:L2"/>
  </mergeCells>
  <dataValidations count="1">
    <dataValidation type="decimal" operator="greaterThan" allowBlank="1" showInputMessage="1" showErrorMessage="1" errorTitle="Error!" error="Please enter a value greater than 0! " sqref="F4:G16" xr:uid="{19C4B36B-C43B-2E4A-A760-439A01832805}">
      <formula1>0</formula1>
    </dataValidation>
  </dataValidation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8D946-2F5F-FF4F-8285-6A21DE2BFD51}">
  <sheetPr codeName="Sheet4"/>
  <dimension ref="B2:N196"/>
  <sheetViews>
    <sheetView topLeftCell="A2" zoomScale="165" zoomScaleNormal="200" workbookViewId="0">
      <selection activeCell="A8" sqref="A8"/>
    </sheetView>
  </sheetViews>
  <sheetFormatPr baseColWidth="10" defaultColWidth="11" defaultRowHeight="16" x14ac:dyDescent="0.2"/>
  <cols>
    <col min="2" max="2" width="26.1640625" customWidth="1"/>
    <col min="3" max="3" width="17.5" style="10" customWidth="1"/>
    <col min="4" max="4" width="14" customWidth="1"/>
    <col min="5" max="5" width="13.33203125" customWidth="1"/>
    <col min="6" max="6" width="18.83203125" style="8" customWidth="1"/>
    <col min="7" max="7" width="27" style="16" customWidth="1"/>
    <col min="8" max="9" width="29.6640625" style="19" customWidth="1"/>
    <col min="11" max="11" width="21.33203125" bestFit="1" customWidth="1"/>
    <col min="12" max="13" width="24.6640625" style="16" bestFit="1" customWidth="1"/>
  </cols>
  <sheetData>
    <row r="2" spans="2:14" ht="24" x14ac:dyDescent="0.3">
      <c r="B2" s="78" t="s">
        <v>22</v>
      </c>
      <c r="C2" s="78"/>
      <c r="D2" s="78"/>
      <c r="E2" s="78"/>
      <c r="F2" s="78"/>
      <c r="G2" s="78"/>
      <c r="H2" s="78"/>
      <c r="I2" s="78"/>
    </row>
    <row r="3" spans="2:14" ht="19" x14ac:dyDescent="0.25">
      <c r="B3" s="45" t="s">
        <v>23</v>
      </c>
      <c r="C3" s="46" t="s">
        <v>24</v>
      </c>
      <c r="D3" s="45" t="s">
        <v>25</v>
      </c>
      <c r="E3" s="45" t="s">
        <v>26</v>
      </c>
      <c r="F3" s="47" t="s">
        <v>27</v>
      </c>
      <c r="G3" s="48" t="s">
        <v>28</v>
      </c>
      <c r="H3" s="49" t="s">
        <v>29</v>
      </c>
      <c r="I3" s="49" t="s">
        <v>50</v>
      </c>
    </row>
    <row r="4" spans="2:14" ht="19" x14ac:dyDescent="0.25">
      <c r="B4" s="1" t="s">
        <v>77</v>
      </c>
      <c r="C4" s="7">
        <v>13000</v>
      </c>
      <c r="D4" s="6">
        <v>45623</v>
      </c>
      <c r="E4" s="6">
        <v>45653</v>
      </c>
      <c r="F4" s="7">
        <v>9800</v>
      </c>
      <c r="G4" s="5">
        <v>3200</v>
      </c>
      <c r="H4" s="18">
        <f>IF(C4=0, "", F4/C4)</f>
        <v>0.75384615384615383</v>
      </c>
      <c r="I4" s="1">
        <f>IF(AND(ISNUMBER(D4),ISNUMBER(E4)),E4-D4,"")</f>
        <v>30</v>
      </c>
      <c r="K4" s="56" t="s">
        <v>36</v>
      </c>
      <c r="L4" s="57" t="s">
        <v>61</v>
      </c>
      <c r="M4" s="57" t="s">
        <v>62</v>
      </c>
    </row>
    <row r="5" spans="2:14" x14ac:dyDescent="0.2">
      <c r="B5" s="1" t="s">
        <v>78</v>
      </c>
      <c r="C5" s="7">
        <v>400</v>
      </c>
      <c r="D5" s="6">
        <v>45623</v>
      </c>
      <c r="E5" s="6">
        <v>45662</v>
      </c>
      <c r="F5" s="7">
        <v>134</v>
      </c>
      <c r="G5" s="5">
        <v>266</v>
      </c>
      <c r="H5" s="18">
        <f t="shared" ref="H5:H7" si="0">IF(C5=0, "", F5/C5)</f>
        <v>0.33500000000000002</v>
      </c>
      <c r="I5" s="1">
        <f t="shared" ref="I5:I23" si="1">IF(AND(ISNUMBER(D5),ISNUMBER(E5)),E5-D5,"")</f>
        <v>39</v>
      </c>
      <c r="J5" s="17"/>
      <c r="K5" s="12" t="s">
        <v>77</v>
      </c>
      <c r="L5" s="60">
        <v>13000</v>
      </c>
      <c r="M5" s="60">
        <v>9800</v>
      </c>
    </row>
    <row r="6" spans="2:14" x14ac:dyDescent="0.2">
      <c r="B6" s="1" t="s">
        <v>83</v>
      </c>
      <c r="C6" s="7">
        <v>78</v>
      </c>
      <c r="D6" s="6">
        <v>45623</v>
      </c>
      <c r="E6" s="6">
        <v>45631</v>
      </c>
      <c r="F6" s="7">
        <v>67</v>
      </c>
      <c r="G6" s="5">
        <v>11</v>
      </c>
      <c r="H6" s="18">
        <f t="shared" si="0"/>
        <v>0.85897435897435892</v>
      </c>
      <c r="I6" s="1">
        <f t="shared" si="1"/>
        <v>8</v>
      </c>
      <c r="K6" s="12" t="s">
        <v>78</v>
      </c>
      <c r="L6" s="60">
        <v>400</v>
      </c>
      <c r="M6" s="60">
        <v>134</v>
      </c>
    </row>
    <row r="7" spans="2:14" x14ac:dyDescent="0.2">
      <c r="B7" s="1" t="s">
        <v>80</v>
      </c>
      <c r="C7" s="7">
        <v>100</v>
      </c>
      <c r="D7" s="6">
        <v>45624</v>
      </c>
      <c r="E7" s="6">
        <v>45638</v>
      </c>
      <c r="F7" s="7">
        <v>60</v>
      </c>
      <c r="G7" s="5">
        <v>50</v>
      </c>
      <c r="H7" s="18">
        <f t="shared" si="0"/>
        <v>0.6</v>
      </c>
      <c r="I7" s="1">
        <f t="shared" si="1"/>
        <v>14</v>
      </c>
      <c r="K7" s="12" t="s">
        <v>79</v>
      </c>
      <c r="L7" s="60">
        <v>78</v>
      </c>
      <c r="M7" s="60">
        <v>67</v>
      </c>
      <c r="N7" s="35" t="s">
        <v>66</v>
      </c>
    </row>
    <row r="8" spans="2:14" x14ac:dyDescent="0.2">
      <c r="B8" s="1"/>
      <c r="C8" s="7"/>
      <c r="D8" s="6"/>
      <c r="E8" s="6"/>
      <c r="F8" s="7"/>
      <c r="G8" s="5"/>
      <c r="H8" s="18" t="str">
        <f>IF(C8=0, "", F8/C8)</f>
        <v/>
      </c>
      <c r="I8" s="1" t="str">
        <f>IF(AND(ISNUMBER(D8),ISNUMBER(E8)),E8-D8,"")</f>
        <v/>
      </c>
      <c r="K8" s="12" t="s">
        <v>80</v>
      </c>
      <c r="L8" s="60">
        <v>100</v>
      </c>
      <c r="M8" s="60">
        <v>60</v>
      </c>
      <c r="N8" s="35" t="s">
        <v>67</v>
      </c>
    </row>
    <row r="9" spans="2:14" x14ac:dyDescent="0.2">
      <c r="B9" s="1"/>
      <c r="C9" s="7"/>
      <c r="D9" s="6"/>
      <c r="E9" s="6"/>
      <c r="F9" s="7"/>
      <c r="G9" s="5"/>
      <c r="H9" s="18" t="str">
        <f t="shared" ref="H9:H72" si="2">IF(C9=0, "", F9/C9)</f>
        <v/>
      </c>
      <c r="I9" s="1" t="str">
        <f t="shared" si="1"/>
        <v/>
      </c>
      <c r="K9" s="43" t="s">
        <v>35</v>
      </c>
      <c r="L9" s="44">
        <v>13578</v>
      </c>
      <c r="M9" s="44">
        <v>10061</v>
      </c>
      <c r="N9" s="35" t="s">
        <v>68</v>
      </c>
    </row>
    <row r="10" spans="2:14" x14ac:dyDescent="0.2">
      <c r="B10" s="1"/>
      <c r="C10" s="7"/>
      <c r="D10" s="6"/>
      <c r="E10" s="6"/>
      <c r="F10" s="7"/>
      <c r="G10" s="5"/>
      <c r="H10" s="18" t="str">
        <f t="shared" si="2"/>
        <v/>
      </c>
      <c r="I10" s="1"/>
      <c r="L10"/>
      <c r="M10"/>
    </row>
    <row r="11" spans="2:14" x14ac:dyDescent="0.2">
      <c r="B11" s="1"/>
      <c r="C11" s="7"/>
      <c r="D11" s="1"/>
      <c r="E11" s="1"/>
      <c r="F11" s="7"/>
      <c r="G11" s="5"/>
      <c r="H11" s="18" t="str">
        <f t="shared" si="2"/>
        <v/>
      </c>
      <c r="I11" s="1" t="str">
        <f t="shared" si="1"/>
        <v/>
      </c>
      <c r="L11"/>
      <c r="M11"/>
    </row>
    <row r="12" spans="2:14" x14ac:dyDescent="0.2">
      <c r="B12" s="1"/>
      <c r="C12" s="7"/>
      <c r="D12" s="1"/>
      <c r="E12" s="1"/>
      <c r="F12" s="7"/>
      <c r="G12" s="5"/>
      <c r="H12" s="18" t="str">
        <f t="shared" si="2"/>
        <v/>
      </c>
      <c r="I12" s="1" t="str">
        <f t="shared" si="1"/>
        <v/>
      </c>
      <c r="L12"/>
      <c r="M12"/>
    </row>
    <row r="13" spans="2:14" x14ac:dyDescent="0.2">
      <c r="B13" s="1"/>
      <c r="C13" s="7"/>
      <c r="D13" s="1"/>
      <c r="E13" s="1"/>
      <c r="F13" s="7"/>
      <c r="G13" s="5"/>
      <c r="H13" s="18" t="str">
        <f t="shared" si="2"/>
        <v/>
      </c>
      <c r="I13" s="1" t="str">
        <f t="shared" si="1"/>
        <v/>
      </c>
    </row>
    <row r="14" spans="2:14" x14ac:dyDescent="0.2">
      <c r="B14" s="1"/>
      <c r="C14" s="7"/>
      <c r="D14" s="1"/>
      <c r="E14" s="1"/>
      <c r="F14" s="7"/>
      <c r="G14" s="5"/>
      <c r="H14" s="18" t="str">
        <f t="shared" si="2"/>
        <v/>
      </c>
      <c r="I14" s="1" t="str">
        <f t="shared" si="1"/>
        <v/>
      </c>
    </row>
    <row r="15" spans="2:14" x14ac:dyDescent="0.2">
      <c r="B15" s="1"/>
      <c r="C15" s="7"/>
      <c r="D15" s="1"/>
      <c r="E15" s="1"/>
      <c r="F15" s="7"/>
      <c r="G15" s="5"/>
      <c r="H15" s="18" t="str">
        <f t="shared" si="2"/>
        <v/>
      </c>
      <c r="I15" s="1" t="str">
        <f t="shared" si="1"/>
        <v/>
      </c>
    </row>
    <row r="16" spans="2:14" x14ac:dyDescent="0.2">
      <c r="B16" s="1"/>
      <c r="C16" s="7"/>
      <c r="D16" s="1"/>
      <c r="E16" s="1"/>
      <c r="F16" s="7"/>
      <c r="G16" s="5"/>
      <c r="H16" s="18" t="str">
        <f t="shared" si="2"/>
        <v/>
      </c>
      <c r="I16" s="1" t="str">
        <f t="shared" si="1"/>
        <v/>
      </c>
    </row>
    <row r="17" spans="2:9" x14ac:dyDescent="0.2">
      <c r="B17" s="1"/>
      <c r="C17" s="7"/>
      <c r="D17" s="1"/>
      <c r="E17" s="1"/>
      <c r="F17" s="7"/>
      <c r="G17" s="5"/>
      <c r="H17" s="18" t="str">
        <f t="shared" si="2"/>
        <v/>
      </c>
      <c r="I17" s="1" t="str">
        <f t="shared" si="1"/>
        <v/>
      </c>
    </row>
    <row r="18" spans="2:9" x14ac:dyDescent="0.2">
      <c r="B18" s="1"/>
      <c r="C18" s="7"/>
      <c r="D18" s="1"/>
      <c r="E18" s="1"/>
      <c r="F18" s="7"/>
      <c r="G18" s="5"/>
      <c r="H18" s="18" t="str">
        <f t="shared" si="2"/>
        <v/>
      </c>
      <c r="I18" s="1" t="str">
        <f t="shared" si="1"/>
        <v/>
      </c>
    </row>
    <row r="19" spans="2:9" x14ac:dyDescent="0.2">
      <c r="B19" s="1"/>
      <c r="C19" s="7"/>
      <c r="D19" s="1"/>
      <c r="E19" s="1"/>
      <c r="F19" s="7"/>
      <c r="G19" s="5"/>
      <c r="H19" s="18" t="str">
        <f t="shared" si="2"/>
        <v/>
      </c>
      <c r="I19" s="1" t="str">
        <f t="shared" si="1"/>
        <v/>
      </c>
    </row>
    <row r="20" spans="2:9" x14ac:dyDescent="0.2">
      <c r="B20" s="1"/>
      <c r="C20" s="7"/>
      <c r="D20" s="1"/>
      <c r="E20" s="1"/>
      <c r="F20" s="7"/>
      <c r="G20" s="5"/>
      <c r="H20" s="18" t="str">
        <f t="shared" si="2"/>
        <v/>
      </c>
      <c r="I20" s="1" t="str">
        <f t="shared" si="1"/>
        <v/>
      </c>
    </row>
    <row r="21" spans="2:9" x14ac:dyDescent="0.2">
      <c r="E21" s="4"/>
      <c r="H21" t="str">
        <f t="shared" si="2"/>
        <v/>
      </c>
      <c r="I21" t="str">
        <f t="shared" si="1"/>
        <v/>
      </c>
    </row>
    <row r="22" spans="2:9" x14ac:dyDescent="0.2">
      <c r="H22" t="str">
        <f>IF(C22=0, "", F22/C22)</f>
        <v/>
      </c>
      <c r="I22" t="str">
        <f t="shared" si="1"/>
        <v/>
      </c>
    </row>
    <row r="23" spans="2:9" x14ac:dyDescent="0.2">
      <c r="F23" s="10"/>
      <c r="H23" t="str">
        <f t="shared" si="2"/>
        <v/>
      </c>
      <c r="I23" t="str">
        <f t="shared" si="1"/>
        <v/>
      </c>
    </row>
    <row r="24" spans="2:9" x14ac:dyDescent="0.2">
      <c r="H24" t="str">
        <f t="shared" si="2"/>
        <v/>
      </c>
      <c r="I24" t="str">
        <f>IF(AND(ISNUMBER(D24),ISNUMBER(E24)),E24-D24,"")</f>
        <v/>
      </c>
    </row>
    <row r="25" spans="2:9" x14ac:dyDescent="0.2">
      <c r="H25" t="str">
        <f t="shared" si="2"/>
        <v/>
      </c>
      <c r="I25" t="str">
        <f t="shared" ref="I25:I88" si="3">IF(AND(ISNUMBER(D25),ISNUMBER(E25)),E25-D25,"")</f>
        <v/>
      </c>
    </row>
    <row r="26" spans="2:9" x14ac:dyDescent="0.2">
      <c r="H26" t="str">
        <f t="shared" si="2"/>
        <v/>
      </c>
      <c r="I26" t="str">
        <f t="shared" si="3"/>
        <v/>
      </c>
    </row>
    <row r="27" spans="2:9" x14ac:dyDescent="0.2">
      <c r="H27" t="str">
        <f t="shared" si="2"/>
        <v/>
      </c>
      <c r="I27" t="str">
        <f t="shared" si="3"/>
        <v/>
      </c>
    </row>
    <row r="28" spans="2:9" x14ac:dyDescent="0.2">
      <c r="H28" t="str">
        <f t="shared" si="2"/>
        <v/>
      </c>
      <c r="I28" t="str">
        <f t="shared" si="3"/>
        <v/>
      </c>
    </row>
    <row r="29" spans="2:9" x14ac:dyDescent="0.2">
      <c r="H29" t="str">
        <f t="shared" si="2"/>
        <v/>
      </c>
      <c r="I29" t="str">
        <f t="shared" si="3"/>
        <v/>
      </c>
    </row>
    <row r="30" spans="2:9" x14ac:dyDescent="0.2">
      <c r="H30" t="str">
        <f t="shared" si="2"/>
        <v/>
      </c>
      <c r="I30" t="str">
        <f t="shared" si="3"/>
        <v/>
      </c>
    </row>
    <row r="31" spans="2:9" x14ac:dyDescent="0.2">
      <c r="C31" s="17"/>
      <c r="H31" t="str">
        <f t="shared" si="2"/>
        <v/>
      </c>
      <c r="I31" t="str">
        <f t="shared" si="3"/>
        <v/>
      </c>
    </row>
    <row r="32" spans="2:9" x14ac:dyDescent="0.2">
      <c r="H32" t="str">
        <f t="shared" si="2"/>
        <v/>
      </c>
      <c r="I32" t="str">
        <f t="shared" si="3"/>
        <v/>
      </c>
    </row>
    <row r="33" spans="8:9" x14ac:dyDescent="0.2">
      <c r="H33" t="str">
        <f t="shared" si="2"/>
        <v/>
      </c>
      <c r="I33" t="str">
        <f t="shared" si="3"/>
        <v/>
      </c>
    </row>
    <row r="34" spans="8:9" x14ac:dyDescent="0.2">
      <c r="H34" t="str">
        <f t="shared" si="2"/>
        <v/>
      </c>
      <c r="I34" t="str">
        <f t="shared" si="3"/>
        <v/>
      </c>
    </row>
    <row r="35" spans="8:9" x14ac:dyDescent="0.2">
      <c r="H35" t="str">
        <f t="shared" si="2"/>
        <v/>
      </c>
      <c r="I35" t="str">
        <f t="shared" si="3"/>
        <v/>
      </c>
    </row>
    <row r="36" spans="8:9" x14ac:dyDescent="0.2">
      <c r="H36" t="str">
        <f t="shared" si="2"/>
        <v/>
      </c>
      <c r="I36" t="str">
        <f t="shared" si="3"/>
        <v/>
      </c>
    </row>
    <row r="37" spans="8:9" x14ac:dyDescent="0.2">
      <c r="H37" t="str">
        <f t="shared" si="2"/>
        <v/>
      </c>
      <c r="I37" t="str">
        <f t="shared" si="3"/>
        <v/>
      </c>
    </row>
    <row r="38" spans="8:9" x14ac:dyDescent="0.2">
      <c r="H38" t="str">
        <f t="shared" si="2"/>
        <v/>
      </c>
      <c r="I38" t="str">
        <f t="shared" si="3"/>
        <v/>
      </c>
    </row>
    <row r="39" spans="8:9" x14ac:dyDescent="0.2">
      <c r="H39" t="str">
        <f t="shared" si="2"/>
        <v/>
      </c>
      <c r="I39" t="str">
        <f t="shared" si="3"/>
        <v/>
      </c>
    </row>
    <row r="40" spans="8:9" x14ac:dyDescent="0.2">
      <c r="H40" t="str">
        <f t="shared" si="2"/>
        <v/>
      </c>
      <c r="I40" t="str">
        <f t="shared" si="3"/>
        <v/>
      </c>
    </row>
    <row r="41" spans="8:9" x14ac:dyDescent="0.2">
      <c r="H41" t="str">
        <f t="shared" si="2"/>
        <v/>
      </c>
      <c r="I41" t="str">
        <f t="shared" si="3"/>
        <v/>
      </c>
    </row>
    <row r="42" spans="8:9" x14ac:dyDescent="0.2">
      <c r="H42" t="str">
        <f t="shared" si="2"/>
        <v/>
      </c>
      <c r="I42" t="str">
        <f t="shared" si="3"/>
        <v/>
      </c>
    </row>
    <row r="43" spans="8:9" x14ac:dyDescent="0.2">
      <c r="H43" t="str">
        <f t="shared" si="2"/>
        <v/>
      </c>
      <c r="I43" t="str">
        <f t="shared" si="3"/>
        <v/>
      </c>
    </row>
    <row r="44" spans="8:9" x14ac:dyDescent="0.2">
      <c r="H44" t="str">
        <f t="shared" si="2"/>
        <v/>
      </c>
      <c r="I44" t="str">
        <f t="shared" si="3"/>
        <v/>
      </c>
    </row>
    <row r="45" spans="8:9" x14ac:dyDescent="0.2">
      <c r="H45" t="str">
        <f t="shared" si="2"/>
        <v/>
      </c>
      <c r="I45" t="str">
        <f t="shared" si="3"/>
        <v/>
      </c>
    </row>
    <row r="46" spans="8:9" x14ac:dyDescent="0.2">
      <c r="H46" t="str">
        <f t="shared" si="2"/>
        <v/>
      </c>
      <c r="I46" t="str">
        <f t="shared" si="3"/>
        <v/>
      </c>
    </row>
    <row r="47" spans="8:9" x14ac:dyDescent="0.2">
      <c r="H47" t="str">
        <f t="shared" si="2"/>
        <v/>
      </c>
      <c r="I47" t="str">
        <f t="shared" si="3"/>
        <v/>
      </c>
    </row>
    <row r="48" spans="8:9" x14ac:dyDescent="0.2">
      <c r="H48" t="str">
        <f t="shared" si="2"/>
        <v/>
      </c>
      <c r="I48" t="str">
        <f t="shared" si="3"/>
        <v/>
      </c>
    </row>
    <row r="49" spans="8:9" x14ac:dyDescent="0.2">
      <c r="H49" t="str">
        <f t="shared" si="2"/>
        <v/>
      </c>
      <c r="I49" t="str">
        <f t="shared" si="3"/>
        <v/>
      </c>
    </row>
    <row r="50" spans="8:9" x14ac:dyDescent="0.2">
      <c r="H50" t="str">
        <f t="shared" si="2"/>
        <v/>
      </c>
      <c r="I50" t="str">
        <f t="shared" si="3"/>
        <v/>
      </c>
    </row>
    <row r="51" spans="8:9" x14ac:dyDescent="0.2">
      <c r="H51" t="str">
        <f t="shared" si="2"/>
        <v/>
      </c>
      <c r="I51" t="str">
        <f t="shared" si="3"/>
        <v/>
      </c>
    </row>
    <row r="52" spans="8:9" x14ac:dyDescent="0.2">
      <c r="H52" t="str">
        <f t="shared" si="2"/>
        <v/>
      </c>
      <c r="I52" t="str">
        <f t="shared" si="3"/>
        <v/>
      </c>
    </row>
    <row r="53" spans="8:9" x14ac:dyDescent="0.2">
      <c r="H53" t="str">
        <f t="shared" si="2"/>
        <v/>
      </c>
      <c r="I53" t="str">
        <f t="shared" si="3"/>
        <v/>
      </c>
    </row>
    <row r="54" spans="8:9" x14ac:dyDescent="0.2">
      <c r="H54" t="str">
        <f t="shared" si="2"/>
        <v/>
      </c>
      <c r="I54" t="str">
        <f t="shared" si="3"/>
        <v/>
      </c>
    </row>
    <row r="55" spans="8:9" x14ac:dyDescent="0.2">
      <c r="H55" t="str">
        <f t="shared" si="2"/>
        <v/>
      </c>
      <c r="I55" t="str">
        <f t="shared" si="3"/>
        <v/>
      </c>
    </row>
    <row r="56" spans="8:9" x14ac:dyDescent="0.2">
      <c r="H56" t="str">
        <f t="shared" si="2"/>
        <v/>
      </c>
      <c r="I56" t="str">
        <f t="shared" si="3"/>
        <v/>
      </c>
    </row>
    <row r="57" spans="8:9" x14ac:dyDescent="0.2">
      <c r="H57" t="str">
        <f t="shared" si="2"/>
        <v/>
      </c>
      <c r="I57" t="str">
        <f t="shared" si="3"/>
        <v/>
      </c>
    </row>
    <row r="58" spans="8:9" x14ac:dyDescent="0.2">
      <c r="H58" t="str">
        <f t="shared" si="2"/>
        <v/>
      </c>
      <c r="I58" t="str">
        <f t="shared" si="3"/>
        <v/>
      </c>
    </row>
    <row r="59" spans="8:9" x14ac:dyDescent="0.2">
      <c r="H59" t="str">
        <f t="shared" si="2"/>
        <v/>
      </c>
      <c r="I59" t="str">
        <f t="shared" si="3"/>
        <v/>
      </c>
    </row>
    <row r="60" spans="8:9" x14ac:dyDescent="0.2">
      <c r="H60" t="str">
        <f t="shared" si="2"/>
        <v/>
      </c>
      <c r="I60" t="str">
        <f t="shared" si="3"/>
        <v/>
      </c>
    </row>
    <row r="61" spans="8:9" x14ac:dyDescent="0.2">
      <c r="H61" t="str">
        <f t="shared" si="2"/>
        <v/>
      </c>
      <c r="I61" t="str">
        <f t="shared" si="3"/>
        <v/>
      </c>
    </row>
    <row r="62" spans="8:9" x14ac:dyDescent="0.2">
      <c r="H62" t="str">
        <f t="shared" si="2"/>
        <v/>
      </c>
      <c r="I62" t="str">
        <f t="shared" si="3"/>
        <v/>
      </c>
    </row>
    <row r="63" spans="8:9" x14ac:dyDescent="0.2">
      <c r="H63" t="str">
        <f t="shared" si="2"/>
        <v/>
      </c>
      <c r="I63" t="str">
        <f t="shared" si="3"/>
        <v/>
      </c>
    </row>
    <row r="64" spans="8:9" x14ac:dyDescent="0.2">
      <c r="H64" t="str">
        <f t="shared" si="2"/>
        <v/>
      </c>
      <c r="I64" t="str">
        <f t="shared" si="3"/>
        <v/>
      </c>
    </row>
    <row r="65" spans="8:9" x14ac:dyDescent="0.2">
      <c r="H65" t="str">
        <f t="shared" si="2"/>
        <v/>
      </c>
      <c r="I65" t="str">
        <f t="shared" si="3"/>
        <v/>
      </c>
    </row>
    <row r="66" spans="8:9" x14ac:dyDescent="0.2">
      <c r="H66" t="str">
        <f t="shared" si="2"/>
        <v/>
      </c>
      <c r="I66" t="str">
        <f t="shared" si="3"/>
        <v/>
      </c>
    </row>
    <row r="67" spans="8:9" x14ac:dyDescent="0.2">
      <c r="H67" t="str">
        <f t="shared" si="2"/>
        <v/>
      </c>
      <c r="I67" t="str">
        <f t="shared" si="3"/>
        <v/>
      </c>
    </row>
    <row r="68" spans="8:9" x14ac:dyDescent="0.2">
      <c r="H68" t="str">
        <f t="shared" si="2"/>
        <v/>
      </c>
      <c r="I68" t="str">
        <f t="shared" si="3"/>
        <v/>
      </c>
    </row>
    <row r="69" spans="8:9" x14ac:dyDescent="0.2">
      <c r="H69" t="str">
        <f t="shared" si="2"/>
        <v/>
      </c>
      <c r="I69" t="str">
        <f t="shared" si="3"/>
        <v/>
      </c>
    </row>
    <row r="70" spans="8:9" x14ac:dyDescent="0.2">
      <c r="H70" t="str">
        <f t="shared" si="2"/>
        <v/>
      </c>
      <c r="I70" t="str">
        <f t="shared" si="3"/>
        <v/>
      </c>
    </row>
    <row r="71" spans="8:9" x14ac:dyDescent="0.2">
      <c r="H71" t="str">
        <f t="shared" si="2"/>
        <v/>
      </c>
      <c r="I71" t="str">
        <f t="shared" si="3"/>
        <v/>
      </c>
    </row>
    <row r="72" spans="8:9" x14ac:dyDescent="0.2">
      <c r="H72" t="str">
        <f t="shared" si="2"/>
        <v/>
      </c>
      <c r="I72" t="str">
        <f t="shared" si="3"/>
        <v/>
      </c>
    </row>
    <row r="73" spans="8:9" x14ac:dyDescent="0.2">
      <c r="H73" t="str">
        <f t="shared" ref="H73:H98" si="4">IF(C73=0, "", F73/C73)</f>
        <v/>
      </c>
      <c r="I73" t="str">
        <f t="shared" si="3"/>
        <v/>
      </c>
    </row>
    <row r="74" spans="8:9" x14ac:dyDescent="0.2">
      <c r="H74" t="str">
        <f t="shared" si="4"/>
        <v/>
      </c>
      <c r="I74" t="str">
        <f t="shared" si="3"/>
        <v/>
      </c>
    </row>
    <row r="75" spans="8:9" x14ac:dyDescent="0.2">
      <c r="H75" t="str">
        <f t="shared" si="4"/>
        <v/>
      </c>
      <c r="I75" t="str">
        <f t="shared" si="3"/>
        <v/>
      </c>
    </row>
    <row r="76" spans="8:9" x14ac:dyDescent="0.2">
      <c r="H76" t="str">
        <f t="shared" si="4"/>
        <v/>
      </c>
      <c r="I76" t="str">
        <f t="shared" si="3"/>
        <v/>
      </c>
    </row>
    <row r="77" spans="8:9" x14ac:dyDescent="0.2">
      <c r="H77" t="str">
        <f t="shared" si="4"/>
        <v/>
      </c>
      <c r="I77" t="str">
        <f t="shared" si="3"/>
        <v/>
      </c>
    </row>
    <row r="78" spans="8:9" x14ac:dyDescent="0.2">
      <c r="H78" t="str">
        <f t="shared" si="4"/>
        <v/>
      </c>
      <c r="I78" t="str">
        <f t="shared" si="3"/>
        <v/>
      </c>
    </row>
    <row r="79" spans="8:9" x14ac:dyDescent="0.2">
      <c r="H79" t="str">
        <f t="shared" si="4"/>
        <v/>
      </c>
      <c r="I79" t="str">
        <f t="shared" si="3"/>
        <v/>
      </c>
    </row>
    <row r="80" spans="8:9" x14ac:dyDescent="0.2">
      <c r="H80" t="str">
        <f t="shared" si="4"/>
        <v/>
      </c>
      <c r="I80" t="str">
        <f t="shared" si="3"/>
        <v/>
      </c>
    </row>
    <row r="81" spans="8:9" x14ac:dyDescent="0.2">
      <c r="H81" t="str">
        <f t="shared" si="4"/>
        <v/>
      </c>
      <c r="I81" t="str">
        <f t="shared" si="3"/>
        <v/>
      </c>
    </row>
    <row r="82" spans="8:9" x14ac:dyDescent="0.2">
      <c r="H82" t="str">
        <f t="shared" si="4"/>
        <v/>
      </c>
      <c r="I82" t="str">
        <f t="shared" si="3"/>
        <v/>
      </c>
    </row>
    <row r="83" spans="8:9" x14ac:dyDescent="0.2">
      <c r="H83" t="str">
        <f t="shared" si="4"/>
        <v/>
      </c>
      <c r="I83" t="str">
        <f t="shared" si="3"/>
        <v/>
      </c>
    </row>
    <row r="84" spans="8:9" x14ac:dyDescent="0.2">
      <c r="H84" t="str">
        <f t="shared" si="4"/>
        <v/>
      </c>
      <c r="I84" t="str">
        <f t="shared" si="3"/>
        <v/>
      </c>
    </row>
    <row r="85" spans="8:9" x14ac:dyDescent="0.2">
      <c r="H85" t="str">
        <f t="shared" si="4"/>
        <v/>
      </c>
      <c r="I85" t="str">
        <f t="shared" si="3"/>
        <v/>
      </c>
    </row>
    <row r="86" spans="8:9" x14ac:dyDescent="0.2">
      <c r="H86" t="str">
        <f t="shared" si="4"/>
        <v/>
      </c>
      <c r="I86" t="str">
        <f t="shared" si="3"/>
        <v/>
      </c>
    </row>
    <row r="87" spans="8:9" x14ac:dyDescent="0.2">
      <c r="H87" t="str">
        <f t="shared" si="4"/>
        <v/>
      </c>
      <c r="I87" t="str">
        <f t="shared" si="3"/>
        <v/>
      </c>
    </row>
    <row r="88" spans="8:9" x14ac:dyDescent="0.2">
      <c r="H88" t="str">
        <f t="shared" si="4"/>
        <v/>
      </c>
      <c r="I88" t="str">
        <f t="shared" si="3"/>
        <v/>
      </c>
    </row>
    <row r="89" spans="8:9" x14ac:dyDescent="0.2">
      <c r="H89" t="str">
        <f t="shared" si="4"/>
        <v/>
      </c>
      <c r="I89" t="str">
        <f t="shared" ref="I89:I152" si="5">IF(AND(ISNUMBER(D89),ISNUMBER(E89)),E89-D89,"")</f>
        <v/>
      </c>
    </row>
    <row r="90" spans="8:9" x14ac:dyDescent="0.2">
      <c r="H90" t="str">
        <f t="shared" si="4"/>
        <v/>
      </c>
      <c r="I90" t="str">
        <f t="shared" si="5"/>
        <v/>
      </c>
    </row>
    <row r="91" spans="8:9" x14ac:dyDescent="0.2">
      <c r="H91" t="str">
        <f t="shared" si="4"/>
        <v/>
      </c>
      <c r="I91" t="str">
        <f t="shared" si="5"/>
        <v/>
      </c>
    </row>
    <row r="92" spans="8:9" x14ac:dyDescent="0.2">
      <c r="H92" t="str">
        <f t="shared" si="4"/>
        <v/>
      </c>
      <c r="I92" t="str">
        <f t="shared" si="5"/>
        <v/>
      </c>
    </row>
    <row r="93" spans="8:9" x14ac:dyDescent="0.2">
      <c r="H93" t="str">
        <f t="shared" si="4"/>
        <v/>
      </c>
      <c r="I93" t="str">
        <f t="shared" si="5"/>
        <v/>
      </c>
    </row>
    <row r="94" spans="8:9" x14ac:dyDescent="0.2">
      <c r="H94" t="str">
        <f t="shared" si="4"/>
        <v/>
      </c>
      <c r="I94" t="str">
        <f t="shared" si="5"/>
        <v/>
      </c>
    </row>
    <row r="95" spans="8:9" x14ac:dyDescent="0.2">
      <c r="H95" t="str">
        <f t="shared" si="4"/>
        <v/>
      </c>
      <c r="I95" t="str">
        <f t="shared" si="5"/>
        <v/>
      </c>
    </row>
    <row r="96" spans="8:9" x14ac:dyDescent="0.2">
      <c r="H96" t="str">
        <f t="shared" si="4"/>
        <v/>
      </c>
      <c r="I96" t="str">
        <f t="shared" si="5"/>
        <v/>
      </c>
    </row>
    <row r="97" spans="8:9" x14ac:dyDescent="0.2">
      <c r="H97" t="str">
        <f t="shared" si="4"/>
        <v/>
      </c>
      <c r="I97" t="str">
        <f t="shared" si="5"/>
        <v/>
      </c>
    </row>
    <row r="98" spans="8:9" x14ac:dyDescent="0.2">
      <c r="H98" t="str">
        <f t="shared" si="4"/>
        <v/>
      </c>
      <c r="I98" t="str">
        <f t="shared" si="5"/>
        <v/>
      </c>
    </row>
    <row r="99" spans="8:9" x14ac:dyDescent="0.2">
      <c r="H99" t="str">
        <f>IF(C99=0, "", F99/C99)</f>
        <v/>
      </c>
      <c r="I99" t="str">
        <f t="shared" si="5"/>
        <v/>
      </c>
    </row>
    <row r="100" spans="8:9" x14ac:dyDescent="0.2">
      <c r="H100" t="str">
        <f t="shared" ref="H100:H163" si="6">IF(C100=0, "", F100/C100)</f>
        <v/>
      </c>
      <c r="I100" t="str">
        <f t="shared" si="5"/>
        <v/>
      </c>
    </row>
    <row r="101" spans="8:9" x14ac:dyDescent="0.2">
      <c r="H101" t="str">
        <f t="shared" si="6"/>
        <v/>
      </c>
      <c r="I101" t="str">
        <f t="shared" si="5"/>
        <v/>
      </c>
    </row>
    <row r="102" spans="8:9" x14ac:dyDescent="0.2">
      <c r="H102" t="str">
        <f t="shared" si="6"/>
        <v/>
      </c>
      <c r="I102" t="str">
        <f t="shared" si="5"/>
        <v/>
      </c>
    </row>
    <row r="103" spans="8:9" x14ac:dyDescent="0.2">
      <c r="H103" t="str">
        <f t="shared" si="6"/>
        <v/>
      </c>
      <c r="I103" t="str">
        <f t="shared" si="5"/>
        <v/>
      </c>
    </row>
    <row r="104" spans="8:9" x14ac:dyDescent="0.2">
      <c r="H104" t="str">
        <f t="shared" si="6"/>
        <v/>
      </c>
      <c r="I104" t="str">
        <f t="shared" si="5"/>
        <v/>
      </c>
    </row>
    <row r="105" spans="8:9" x14ac:dyDescent="0.2">
      <c r="H105" t="str">
        <f t="shared" si="6"/>
        <v/>
      </c>
      <c r="I105" t="str">
        <f t="shared" si="5"/>
        <v/>
      </c>
    </row>
    <row r="106" spans="8:9" x14ac:dyDescent="0.2">
      <c r="H106" t="str">
        <f t="shared" si="6"/>
        <v/>
      </c>
      <c r="I106" t="str">
        <f t="shared" si="5"/>
        <v/>
      </c>
    </row>
    <row r="107" spans="8:9" x14ac:dyDescent="0.2">
      <c r="H107" t="str">
        <f t="shared" si="6"/>
        <v/>
      </c>
      <c r="I107" t="str">
        <f t="shared" si="5"/>
        <v/>
      </c>
    </row>
    <row r="108" spans="8:9" x14ac:dyDescent="0.2">
      <c r="H108" t="str">
        <f t="shared" si="6"/>
        <v/>
      </c>
      <c r="I108" t="str">
        <f t="shared" si="5"/>
        <v/>
      </c>
    </row>
    <row r="109" spans="8:9" x14ac:dyDescent="0.2">
      <c r="H109" t="str">
        <f t="shared" si="6"/>
        <v/>
      </c>
      <c r="I109" t="str">
        <f t="shared" si="5"/>
        <v/>
      </c>
    </row>
    <row r="110" spans="8:9" x14ac:dyDescent="0.2">
      <c r="H110" t="str">
        <f t="shared" si="6"/>
        <v/>
      </c>
      <c r="I110" t="str">
        <f t="shared" si="5"/>
        <v/>
      </c>
    </row>
    <row r="111" spans="8:9" x14ac:dyDescent="0.2">
      <c r="H111" t="str">
        <f t="shared" si="6"/>
        <v/>
      </c>
      <c r="I111" t="str">
        <f t="shared" si="5"/>
        <v/>
      </c>
    </row>
    <row r="112" spans="8:9" x14ac:dyDescent="0.2">
      <c r="H112" t="str">
        <f t="shared" si="6"/>
        <v/>
      </c>
      <c r="I112" t="str">
        <f t="shared" si="5"/>
        <v/>
      </c>
    </row>
    <row r="113" spans="8:9" x14ac:dyDescent="0.2">
      <c r="H113" t="str">
        <f t="shared" si="6"/>
        <v/>
      </c>
      <c r="I113" t="str">
        <f t="shared" si="5"/>
        <v/>
      </c>
    </row>
    <row r="114" spans="8:9" x14ac:dyDescent="0.2">
      <c r="H114" t="str">
        <f t="shared" si="6"/>
        <v/>
      </c>
      <c r="I114" t="str">
        <f t="shared" si="5"/>
        <v/>
      </c>
    </row>
    <row r="115" spans="8:9" x14ac:dyDescent="0.2">
      <c r="H115" t="str">
        <f t="shared" si="6"/>
        <v/>
      </c>
      <c r="I115" t="str">
        <f t="shared" si="5"/>
        <v/>
      </c>
    </row>
    <row r="116" spans="8:9" x14ac:dyDescent="0.2">
      <c r="H116" t="str">
        <f t="shared" si="6"/>
        <v/>
      </c>
      <c r="I116" t="str">
        <f t="shared" si="5"/>
        <v/>
      </c>
    </row>
    <row r="117" spans="8:9" x14ac:dyDescent="0.2">
      <c r="H117" t="str">
        <f t="shared" si="6"/>
        <v/>
      </c>
      <c r="I117" t="str">
        <f t="shared" si="5"/>
        <v/>
      </c>
    </row>
    <row r="118" spans="8:9" x14ac:dyDescent="0.2">
      <c r="H118" t="str">
        <f t="shared" si="6"/>
        <v/>
      </c>
      <c r="I118" t="str">
        <f t="shared" si="5"/>
        <v/>
      </c>
    </row>
    <row r="119" spans="8:9" x14ac:dyDescent="0.2">
      <c r="H119" t="str">
        <f t="shared" si="6"/>
        <v/>
      </c>
      <c r="I119" t="str">
        <f t="shared" si="5"/>
        <v/>
      </c>
    </row>
    <row r="120" spans="8:9" x14ac:dyDescent="0.2">
      <c r="H120" t="str">
        <f t="shared" si="6"/>
        <v/>
      </c>
      <c r="I120" t="str">
        <f t="shared" si="5"/>
        <v/>
      </c>
    </row>
    <row r="121" spans="8:9" x14ac:dyDescent="0.2">
      <c r="H121" t="str">
        <f t="shared" si="6"/>
        <v/>
      </c>
      <c r="I121" t="str">
        <f t="shared" si="5"/>
        <v/>
      </c>
    </row>
    <row r="122" spans="8:9" x14ac:dyDescent="0.2">
      <c r="H122" t="str">
        <f t="shared" si="6"/>
        <v/>
      </c>
      <c r="I122" t="str">
        <f t="shared" si="5"/>
        <v/>
      </c>
    </row>
    <row r="123" spans="8:9" x14ac:dyDescent="0.2">
      <c r="H123" t="str">
        <f t="shared" si="6"/>
        <v/>
      </c>
      <c r="I123" t="str">
        <f t="shared" si="5"/>
        <v/>
      </c>
    </row>
    <row r="124" spans="8:9" x14ac:dyDescent="0.2">
      <c r="H124" t="str">
        <f t="shared" si="6"/>
        <v/>
      </c>
      <c r="I124" t="str">
        <f t="shared" si="5"/>
        <v/>
      </c>
    </row>
    <row r="125" spans="8:9" x14ac:dyDescent="0.2">
      <c r="H125" t="str">
        <f t="shared" si="6"/>
        <v/>
      </c>
      <c r="I125" t="str">
        <f t="shared" si="5"/>
        <v/>
      </c>
    </row>
    <row r="126" spans="8:9" x14ac:dyDescent="0.2">
      <c r="H126" t="str">
        <f t="shared" si="6"/>
        <v/>
      </c>
      <c r="I126" t="str">
        <f t="shared" si="5"/>
        <v/>
      </c>
    </row>
    <row r="127" spans="8:9" x14ac:dyDescent="0.2">
      <c r="H127" t="str">
        <f t="shared" si="6"/>
        <v/>
      </c>
      <c r="I127" t="str">
        <f t="shared" si="5"/>
        <v/>
      </c>
    </row>
    <row r="128" spans="8:9" x14ac:dyDescent="0.2">
      <c r="H128" t="str">
        <f t="shared" si="6"/>
        <v/>
      </c>
      <c r="I128" t="str">
        <f t="shared" si="5"/>
        <v/>
      </c>
    </row>
    <row r="129" spans="8:9" x14ac:dyDescent="0.2">
      <c r="H129" t="str">
        <f t="shared" si="6"/>
        <v/>
      </c>
      <c r="I129" t="str">
        <f t="shared" si="5"/>
        <v/>
      </c>
    </row>
    <row r="130" spans="8:9" x14ac:dyDescent="0.2">
      <c r="H130" t="str">
        <f t="shared" si="6"/>
        <v/>
      </c>
      <c r="I130" t="str">
        <f t="shared" si="5"/>
        <v/>
      </c>
    </row>
    <row r="131" spans="8:9" x14ac:dyDescent="0.2">
      <c r="H131" t="str">
        <f t="shared" si="6"/>
        <v/>
      </c>
      <c r="I131" t="str">
        <f t="shared" si="5"/>
        <v/>
      </c>
    </row>
    <row r="132" spans="8:9" x14ac:dyDescent="0.2">
      <c r="H132" t="str">
        <f t="shared" si="6"/>
        <v/>
      </c>
      <c r="I132" t="str">
        <f t="shared" si="5"/>
        <v/>
      </c>
    </row>
    <row r="133" spans="8:9" x14ac:dyDescent="0.2">
      <c r="H133" t="str">
        <f t="shared" si="6"/>
        <v/>
      </c>
      <c r="I133" t="str">
        <f t="shared" si="5"/>
        <v/>
      </c>
    </row>
    <row r="134" spans="8:9" x14ac:dyDescent="0.2">
      <c r="H134" t="str">
        <f t="shared" si="6"/>
        <v/>
      </c>
      <c r="I134" t="str">
        <f t="shared" si="5"/>
        <v/>
      </c>
    </row>
    <row r="135" spans="8:9" x14ac:dyDescent="0.2">
      <c r="H135" t="str">
        <f t="shared" si="6"/>
        <v/>
      </c>
      <c r="I135" t="str">
        <f t="shared" si="5"/>
        <v/>
      </c>
    </row>
    <row r="136" spans="8:9" x14ac:dyDescent="0.2">
      <c r="H136" t="str">
        <f t="shared" si="6"/>
        <v/>
      </c>
      <c r="I136" t="str">
        <f t="shared" si="5"/>
        <v/>
      </c>
    </row>
    <row r="137" spans="8:9" x14ac:dyDescent="0.2">
      <c r="H137" t="str">
        <f t="shared" si="6"/>
        <v/>
      </c>
      <c r="I137" t="str">
        <f t="shared" si="5"/>
        <v/>
      </c>
    </row>
    <row r="138" spans="8:9" x14ac:dyDescent="0.2">
      <c r="H138" t="str">
        <f t="shared" si="6"/>
        <v/>
      </c>
      <c r="I138" t="str">
        <f t="shared" si="5"/>
        <v/>
      </c>
    </row>
    <row r="139" spans="8:9" x14ac:dyDescent="0.2">
      <c r="H139" t="str">
        <f t="shared" si="6"/>
        <v/>
      </c>
      <c r="I139" t="str">
        <f t="shared" si="5"/>
        <v/>
      </c>
    </row>
    <row r="140" spans="8:9" x14ac:dyDescent="0.2">
      <c r="H140" t="str">
        <f t="shared" si="6"/>
        <v/>
      </c>
      <c r="I140" t="str">
        <f t="shared" si="5"/>
        <v/>
      </c>
    </row>
    <row r="141" spans="8:9" x14ac:dyDescent="0.2">
      <c r="H141" t="str">
        <f t="shared" si="6"/>
        <v/>
      </c>
      <c r="I141" t="str">
        <f t="shared" si="5"/>
        <v/>
      </c>
    </row>
    <row r="142" spans="8:9" x14ac:dyDescent="0.2">
      <c r="H142" t="str">
        <f t="shared" si="6"/>
        <v/>
      </c>
      <c r="I142" t="str">
        <f t="shared" si="5"/>
        <v/>
      </c>
    </row>
    <row r="143" spans="8:9" x14ac:dyDescent="0.2">
      <c r="H143" t="str">
        <f t="shared" si="6"/>
        <v/>
      </c>
      <c r="I143" t="str">
        <f t="shared" si="5"/>
        <v/>
      </c>
    </row>
    <row r="144" spans="8:9" x14ac:dyDescent="0.2">
      <c r="H144" t="str">
        <f t="shared" si="6"/>
        <v/>
      </c>
      <c r="I144" t="str">
        <f t="shared" si="5"/>
        <v/>
      </c>
    </row>
    <row r="145" spans="8:9" x14ac:dyDescent="0.2">
      <c r="H145" t="str">
        <f t="shared" si="6"/>
        <v/>
      </c>
      <c r="I145" t="str">
        <f t="shared" si="5"/>
        <v/>
      </c>
    </row>
    <row r="146" spans="8:9" x14ac:dyDescent="0.2">
      <c r="H146" t="str">
        <f t="shared" si="6"/>
        <v/>
      </c>
      <c r="I146" t="str">
        <f t="shared" si="5"/>
        <v/>
      </c>
    </row>
    <row r="147" spans="8:9" x14ac:dyDescent="0.2">
      <c r="H147" t="str">
        <f t="shared" si="6"/>
        <v/>
      </c>
      <c r="I147" t="str">
        <f t="shared" si="5"/>
        <v/>
      </c>
    </row>
    <row r="148" spans="8:9" x14ac:dyDescent="0.2">
      <c r="H148" t="str">
        <f t="shared" si="6"/>
        <v/>
      </c>
      <c r="I148" t="str">
        <f t="shared" si="5"/>
        <v/>
      </c>
    </row>
    <row r="149" spans="8:9" x14ac:dyDescent="0.2">
      <c r="H149" t="str">
        <f t="shared" si="6"/>
        <v/>
      </c>
      <c r="I149" t="str">
        <f t="shared" si="5"/>
        <v/>
      </c>
    </row>
    <row r="150" spans="8:9" x14ac:dyDescent="0.2">
      <c r="H150" t="str">
        <f t="shared" si="6"/>
        <v/>
      </c>
      <c r="I150" t="str">
        <f t="shared" si="5"/>
        <v/>
      </c>
    </row>
    <row r="151" spans="8:9" x14ac:dyDescent="0.2">
      <c r="H151" t="str">
        <f t="shared" si="6"/>
        <v/>
      </c>
      <c r="I151" t="str">
        <f t="shared" si="5"/>
        <v/>
      </c>
    </row>
    <row r="152" spans="8:9" x14ac:dyDescent="0.2">
      <c r="H152" t="str">
        <f t="shared" si="6"/>
        <v/>
      </c>
      <c r="I152" t="str">
        <f t="shared" si="5"/>
        <v/>
      </c>
    </row>
    <row r="153" spans="8:9" x14ac:dyDescent="0.2">
      <c r="H153" t="str">
        <f t="shared" si="6"/>
        <v/>
      </c>
      <c r="I153" t="str">
        <f t="shared" ref="I153:I196" si="7">IF(AND(ISNUMBER(D153),ISNUMBER(E153)),E153-D153,"")</f>
        <v/>
      </c>
    </row>
    <row r="154" spans="8:9" x14ac:dyDescent="0.2">
      <c r="H154" t="str">
        <f t="shared" si="6"/>
        <v/>
      </c>
      <c r="I154" t="str">
        <f t="shared" si="7"/>
        <v/>
      </c>
    </row>
    <row r="155" spans="8:9" x14ac:dyDescent="0.2">
      <c r="H155" t="str">
        <f t="shared" si="6"/>
        <v/>
      </c>
      <c r="I155" t="str">
        <f t="shared" si="7"/>
        <v/>
      </c>
    </row>
    <row r="156" spans="8:9" x14ac:dyDescent="0.2">
      <c r="H156" t="str">
        <f t="shared" si="6"/>
        <v/>
      </c>
      <c r="I156" t="str">
        <f t="shared" si="7"/>
        <v/>
      </c>
    </row>
    <row r="157" spans="8:9" x14ac:dyDescent="0.2">
      <c r="H157" t="str">
        <f t="shared" si="6"/>
        <v/>
      </c>
      <c r="I157" t="str">
        <f t="shared" si="7"/>
        <v/>
      </c>
    </row>
    <row r="158" spans="8:9" x14ac:dyDescent="0.2">
      <c r="H158" t="str">
        <f t="shared" si="6"/>
        <v/>
      </c>
      <c r="I158" t="str">
        <f t="shared" si="7"/>
        <v/>
      </c>
    </row>
    <row r="159" spans="8:9" x14ac:dyDescent="0.2">
      <c r="H159" t="str">
        <f t="shared" si="6"/>
        <v/>
      </c>
      <c r="I159" t="str">
        <f t="shared" si="7"/>
        <v/>
      </c>
    </row>
    <row r="160" spans="8:9" x14ac:dyDescent="0.2">
      <c r="H160" t="str">
        <f t="shared" si="6"/>
        <v/>
      </c>
      <c r="I160" t="str">
        <f t="shared" si="7"/>
        <v/>
      </c>
    </row>
    <row r="161" spans="8:9" x14ac:dyDescent="0.2">
      <c r="H161" t="str">
        <f t="shared" si="6"/>
        <v/>
      </c>
      <c r="I161" t="str">
        <f t="shared" si="7"/>
        <v/>
      </c>
    </row>
    <row r="162" spans="8:9" x14ac:dyDescent="0.2">
      <c r="H162" t="str">
        <f t="shared" si="6"/>
        <v/>
      </c>
      <c r="I162" t="str">
        <f t="shared" si="7"/>
        <v/>
      </c>
    </row>
    <row r="163" spans="8:9" x14ac:dyDescent="0.2">
      <c r="H163" t="str">
        <f t="shared" si="6"/>
        <v/>
      </c>
      <c r="I163" t="str">
        <f t="shared" si="7"/>
        <v/>
      </c>
    </row>
    <row r="164" spans="8:9" x14ac:dyDescent="0.2">
      <c r="H164" t="str">
        <f t="shared" ref="H164:H188" si="8">IF(C164=0, "", F164/C164)</f>
        <v/>
      </c>
      <c r="I164" t="str">
        <f t="shared" si="7"/>
        <v/>
      </c>
    </row>
    <row r="165" spans="8:9" x14ac:dyDescent="0.2">
      <c r="H165" t="str">
        <f t="shared" si="8"/>
        <v/>
      </c>
      <c r="I165" t="str">
        <f t="shared" si="7"/>
        <v/>
      </c>
    </row>
    <row r="166" spans="8:9" x14ac:dyDescent="0.2">
      <c r="H166" t="str">
        <f t="shared" si="8"/>
        <v/>
      </c>
      <c r="I166" t="str">
        <f t="shared" si="7"/>
        <v/>
      </c>
    </row>
    <row r="167" spans="8:9" x14ac:dyDescent="0.2">
      <c r="H167" t="str">
        <f t="shared" si="8"/>
        <v/>
      </c>
      <c r="I167" t="str">
        <f t="shared" si="7"/>
        <v/>
      </c>
    </row>
    <row r="168" spans="8:9" x14ac:dyDescent="0.2">
      <c r="H168" t="str">
        <f t="shared" si="8"/>
        <v/>
      </c>
      <c r="I168" t="str">
        <f t="shared" si="7"/>
        <v/>
      </c>
    </row>
    <row r="169" spans="8:9" x14ac:dyDescent="0.2">
      <c r="H169" t="str">
        <f t="shared" si="8"/>
        <v/>
      </c>
      <c r="I169" t="str">
        <f t="shared" si="7"/>
        <v/>
      </c>
    </row>
    <row r="170" spans="8:9" x14ac:dyDescent="0.2">
      <c r="H170" t="str">
        <f t="shared" si="8"/>
        <v/>
      </c>
      <c r="I170" t="str">
        <f t="shared" si="7"/>
        <v/>
      </c>
    </row>
    <row r="171" spans="8:9" x14ac:dyDescent="0.2">
      <c r="H171" t="str">
        <f t="shared" si="8"/>
        <v/>
      </c>
      <c r="I171" t="str">
        <f t="shared" si="7"/>
        <v/>
      </c>
    </row>
    <row r="172" spans="8:9" x14ac:dyDescent="0.2">
      <c r="H172" t="str">
        <f t="shared" si="8"/>
        <v/>
      </c>
      <c r="I172" t="str">
        <f t="shared" si="7"/>
        <v/>
      </c>
    </row>
    <row r="173" spans="8:9" x14ac:dyDescent="0.2">
      <c r="H173" t="str">
        <f t="shared" si="8"/>
        <v/>
      </c>
      <c r="I173" t="str">
        <f t="shared" si="7"/>
        <v/>
      </c>
    </row>
    <row r="174" spans="8:9" x14ac:dyDescent="0.2">
      <c r="H174" t="str">
        <f t="shared" si="8"/>
        <v/>
      </c>
      <c r="I174" t="str">
        <f t="shared" si="7"/>
        <v/>
      </c>
    </row>
    <row r="175" spans="8:9" x14ac:dyDescent="0.2">
      <c r="H175" t="str">
        <f t="shared" si="8"/>
        <v/>
      </c>
      <c r="I175" t="str">
        <f t="shared" si="7"/>
        <v/>
      </c>
    </row>
    <row r="176" spans="8:9" x14ac:dyDescent="0.2">
      <c r="H176" t="str">
        <f t="shared" si="8"/>
        <v/>
      </c>
      <c r="I176" t="str">
        <f t="shared" si="7"/>
        <v/>
      </c>
    </row>
    <row r="177" spans="8:9" x14ac:dyDescent="0.2">
      <c r="H177" t="str">
        <f t="shared" si="8"/>
        <v/>
      </c>
      <c r="I177" t="str">
        <f t="shared" si="7"/>
        <v/>
      </c>
    </row>
    <row r="178" spans="8:9" x14ac:dyDescent="0.2">
      <c r="H178" t="str">
        <f t="shared" si="8"/>
        <v/>
      </c>
      <c r="I178" t="str">
        <f t="shared" si="7"/>
        <v/>
      </c>
    </row>
    <row r="179" spans="8:9" x14ac:dyDescent="0.2">
      <c r="H179" t="str">
        <f t="shared" si="8"/>
        <v/>
      </c>
      <c r="I179" t="str">
        <f t="shared" si="7"/>
        <v/>
      </c>
    </row>
    <row r="180" spans="8:9" x14ac:dyDescent="0.2">
      <c r="H180" t="str">
        <f t="shared" si="8"/>
        <v/>
      </c>
      <c r="I180" t="str">
        <f t="shared" si="7"/>
        <v/>
      </c>
    </row>
    <row r="181" spans="8:9" x14ac:dyDescent="0.2">
      <c r="H181" t="str">
        <f t="shared" si="8"/>
        <v/>
      </c>
      <c r="I181" t="str">
        <f t="shared" si="7"/>
        <v/>
      </c>
    </row>
    <row r="182" spans="8:9" x14ac:dyDescent="0.2">
      <c r="H182" t="str">
        <f t="shared" si="8"/>
        <v/>
      </c>
      <c r="I182" t="str">
        <f t="shared" si="7"/>
        <v/>
      </c>
    </row>
    <row r="183" spans="8:9" x14ac:dyDescent="0.2">
      <c r="H183" t="str">
        <f t="shared" si="8"/>
        <v/>
      </c>
      <c r="I183" t="str">
        <f t="shared" si="7"/>
        <v/>
      </c>
    </row>
    <row r="184" spans="8:9" x14ac:dyDescent="0.2">
      <c r="H184" t="str">
        <f t="shared" si="8"/>
        <v/>
      </c>
      <c r="I184" t="str">
        <f t="shared" si="7"/>
        <v/>
      </c>
    </row>
    <row r="185" spans="8:9" x14ac:dyDescent="0.2">
      <c r="H185" t="str">
        <f t="shared" si="8"/>
        <v/>
      </c>
      <c r="I185" t="str">
        <f t="shared" si="7"/>
        <v/>
      </c>
    </row>
    <row r="186" spans="8:9" x14ac:dyDescent="0.2">
      <c r="H186" t="str">
        <f t="shared" si="8"/>
        <v/>
      </c>
      <c r="I186" t="str">
        <f t="shared" si="7"/>
        <v/>
      </c>
    </row>
    <row r="187" spans="8:9" x14ac:dyDescent="0.2">
      <c r="H187" t="str">
        <f t="shared" si="8"/>
        <v/>
      </c>
      <c r="I187" t="str">
        <f t="shared" si="7"/>
        <v/>
      </c>
    </row>
    <row r="188" spans="8:9" x14ac:dyDescent="0.2">
      <c r="H188" t="str">
        <f t="shared" si="8"/>
        <v/>
      </c>
      <c r="I188" t="str">
        <f t="shared" si="7"/>
        <v/>
      </c>
    </row>
    <row r="189" spans="8:9" x14ac:dyDescent="0.2">
      <c r="I189" t="str">
        <f t="shared" si="7"/>
        <v/>
      </c>
    </row>
    <row r="190" spans="8:9" x14ac:dyDescent="0.2">
      <c r="I190" t="str">
        <f t="shared" si="7"/>
        <v/>
      </c>
    </row>
    <row r="191" spans="8:9" x14ac:dyDescent="0.2">
      <c r="I191" t="str">
        <f t="shared" si="7"/>
        <v/>
      </c>
    </row>
    <row r="192" spans="8:9" x14ac:dyDescent="0.2">
      <c r="I192" t="str">
        <f t="shared" si="7"/>
        <v/>
      </c>
    </row>
    <row r="193" spans="9:9" x14ac:dyDescent="0.2">
      <c r="I193" t="str">
        <f t="shared" si="7"/>
        <v/>
      </c>
    </row>
    <row r="194" spans="9:9" x14ac:dyDescent="0.2">
      <c r="I194" t="str">
        <f t="shared" si="7"/>
        <v/>
      </c>
    </row>
    <row r="195" spans="9:9" x14ac:dyDescent="0.2">
      <c r="I195" t="str">
        <f t="shared" si="7"/>
        <v/>
      </c>
    </row>
    <row r="196" spans="9:9" x14ac:dyDescent="0.2">
      <c r="I196" t="str">
        <f t="shared" si="7"/>
        <v/>
      </c>
    </row>
  </sheetData>
  <mergeCells count="1">
    <mergeCell ref="B2:I2"/>
  </mergeCells>
  <conditionalFormatting sqref="H1:I1 H3:I3 H197:I1048576 H189:H196 H4:H20">
    <cfRule type="dataBar" priority="1">
      <dataBar>
        <cfvo type="num" val="0"/>
        <cfvo type="num" val="1"/>
        <color theme="9" tint="0.79998168889431442"/>
      </dataBar>
      <extLst>
        <ext xmlns:x14="http://schemas.microsoft.com/office/spreadsheetml/2009/9/main" uri="{B025F937-C7B1-47D3-B67F-A62EFF666E3E}">
          <x14:id>{63FD1B1E-2CF5-4102-823B-8CCD376BB9FE}</x14:id>
        </ext>
      </extLst>
    </cfRule>
  </conditionalFormatting>
  <dataValidations count="1">
    <dataValidation type="decimal" operator="greaterThan" allowBlank="1" showInputMessage="1" showErrorMessage="1" errorTitle="Error!" error="Please enter a value greater than 0! " sqref="C4:C20" xr:uid="{27143252-EDA2-0A47-9EAE-DEE2161D1783}">
      <formula1>0</formula1>
    </dataValidation>
  </dataValidations>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dataBar" id="{63FD1B1E-2CF5-4102-823B-8CCD376BB9FE}">
            <x14:dataBar minLength="0" maxLength="100" gradient="0">
              <x14:cfvo type="num">
                <xm:f>0</xm:f>
              </x14:cfvo>
              <x14:cfvo type="num">
                <xm:f>1</xm:f>
              </x14:cfvo>
              <x14:negativeFillColor rgb="FFFF0000"/>
              <x14:axisColor rgb="FF000000"/>
            </x14:dataBar>
          </x14:cfRule>
          <xm:sqref>H1:I1 H3:I3 H197:I1048576 H189:H196 H4:H20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61343-3D11-7B44-A00D-53951F9B1581}">
  <sheetPr codeName="Sheet5"/>
  <dimension ref="A1:T20"/>
  <sheetViews>
    <sheetView zoomScale="98" zoomScaleNormal="200" workbookViewId="0">
      <selection activeCell="F27" sqref="F27"/>
    </sheetView>
  </sheetViews>
  <sheetFormatPr baseColWidth="10" defaultColWidth="11" defaultRowHeight="16" x14ac:dyDescent="0.2"/>
  <cols>
    <col min="2" max="2" width="11.1640625" customWidth="1"/>
    <col min="3" max="3" width="14.1640625" customWidth="1"/>
    <col min="4" max="4" width="14.5" customWidth="1"/>
    <col min="5" max="5" width="9.6640625" customWidth="1"/>
    <col min="6" max="7" width="13.33203125" customWidth="1"/>
    <col min="8" max="8" width="13.1640625" customWidth="1"/>
    <col min="9" max="9" width="17.83203125" customWidth="1"/>
    <col min="10" max="10" width="9.83203125" customWidth="1"/>
    <col min="11" max="11" width="16.83203125" customWidth="1"/>
    <col min="12" max="12" width="8.83203125" customWidth="1"/>
    <col min="14" max="14" width="19.83203125" customWidth="1"/>
    <col min="17" max="17" width="7.1640625" customWidth="1"/>
    <col min="19" max="19" width="6.83203125" customWidth="1"/>
  </cols>
  <sheetData>
    <row r="1" spans="1:20" ht="47" x14ac:dyDescent="0.55000000000000004">
      <c r="A1" s="66" t="s">
        <v>38</v>
      </c>
      <c r="B1" s="66"/>
      <c r="C1" s="66"/>
      <c r="D1" s="66"/>
      <c r="E1" s="66"/>
      <c r="F1" s="66"/>
      <c r="G1" s="66"/>
      <c r="H1" s="66"/>
      <c r="I1" s="66"/>
      <c r="J1" s="66"/>
      <c r="K1" s="66"/>
      <c r="L1" s="66"/>
      <c r="M1" s="66"/>
      <c r="N1" s="66"/>
      <c r="O1" s="66"/>
      <c r="P1" s="66"/>
      <c r="Q1" s="66"/>
      <c r="R1" s="66"/>
      <c r="S1" s="66"/>
      <c r="T1" s="80"/>
    </row>
    <row r="3" spans="1:20" ht="19" x14ac:dyDescent="0.25">
      <c r="B3" s="84" t="s">
        <v>46</v>
      </c>
      <c r="C3" s="84"/>
      <c r="D3" s="63">
        <f>Income!H3</f>
        <v>3750</v>
      </c>
      <c r="F3" s="84" t="s">
        <v>48</v>
      </c>
      <c r="G3" s="84"/>
      <c r="H3" s="63">
        <f>MAX(Income!F3:F100)</f>
        <v>1250</v>
      </c>
      <c r="I3" s="62" t="str">
        <f>INDEX(Income!C4:C100, MATCH(MAX(Income!E4:E100), Income!E4:E100, 0))</f>
        <v>Part-time</v>
      </c>
      <c r="K3" s="83" t="s">
        <v>51</v>
      </c>
      <c r="L3" s="83"/>
      <c r="M3" s="81" t="str">
        <f>INDEX(Goals!B4:B100, MATCH(MIN(Goals!I4:I100), Goals!I4:I100, 0))</f>
        <v>Birthday presents for Mom</v>
      </c>
      <c r="N3" s="82"/>
      <c r="P3" s="83" t="s">
        <v>27</v>
      </c>
      <c r="Q3" s="83"/>
      <c r="R3" s="79">
        <f>INDEX(Goals!F4:F100, MATCH(MIN(Goals!I4:I100), Goals!I4:I100, 0))</f>
        <v>67</v>
      </c>
      <c r="S3" s="79"/>
    </row>
    <row r="4" spans="1:20" ht="19" x14ac:dyDescent="0.25">
      <c r="B4" s="85" t="s">
        <v>47</v>
      </c>
      <c r="C4" s="85"/>
      <c r="D4" s="64">
        <f>Expenses!I3</f>
        <v>804.09</v>
      </c>
      <c r="F4" s="85" t="s">
        <v>49</v>
      </c>
      <c r="G4" s="85"/>
      <c r="H4" s="64">
        <f>MAX(Expenses!G4:G99)</f>
        <v>700</v>
      </c>
      <c r="I4" s="51" t="str">
        <f>INDEX(Expenses!D4:D99, MATCH(MAX(Expenses!G4:G99), Expenses!G4:G99, 0))</f>
        <v>Rent</v>
      </c>
      <c r="K4" s="81" t="s">
        <v>50</v>
      </c>
      <c r="L4" s="82"/>
      <c r="M4" s="81">
        <f>MIN(Goals!I4:I100)</f>
        <v>8</v>
      </c>
      <c r="N4" s="82"/>
      <c r="P4" s="83" t="s">
        <v>52</v>
      </c>
      <c r="Q4" s="83"/>
      <c r="R4" s="79">
        <f>INDEX(Goals!C4:C100, MATCH(MIN(Goals!I4:I100), Goals!I4:I100, 0))</f>
        <v>78</v>
      </c>
      <c r="S4" s="79"/>
    </row>
    <row r="5" spans="1:20" x14ac:dyDescent="0.2">
      <c r="H5" s="16"/>
    </row>
    <row r="11" spans="1:20" x14ac:dyDescent="0.2">
      <c r="F11" t="s">
        <v>42</v>
      </c>
      <c r="K11" t="s">
        <v>42</v>
      </c>
    </row>
    <row r="15" spans="1:20" x14ac:dyDescent="0.2">
      <c r="G15" s="17"/>
    </row>
    <row r="20" spans="6:6" x14ac:dyDescent="0.2">
      <c r="F20" t="s">
        <v>42</v>
      </c>
    </row>
  </sheetData>
  <mergeCells count="13">
    <mergeCell ref="R3:S3"/>
    <mergeCell ref="R4:S4"/>
    <mergeCell ref="A1:T1"/>
    <mergeCell ref="M3:N3"/>
    <mergeCell ref="K4:L4"/>
    <mergeCell ref="M4:N4"/>
    <mergeCell ref="P3:Q3"/>
    <mergeCell ref="P4:Q4"/>
    <mergeCell ref="B3:C3"/>
    <mergeCell ref="B4:C4"/>
    <mergeCell ref="F3:G3"/>
    <mergeCell ref="F4:G4"/>
    <mergeCell ref="K3:L3"/>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40DC88F4FDF2141965DC0EC4ABC1EC1" ma:contentTypeVersion="6" ma:contentTypeDescription="Create a new document." ma:contentTypeScope="" ma:versionID="fdeaee2bf2c48e5d3d7bed311d5c510c">
  <xsd:schema xmlns:xsd="http://www.w3.org/2001/XMLSchema" xmlns:xs="http://www.w3.org/2001/XMLSchema" xmlns:p="http://schemas.microsoft.com/office/2006/metadata/properties" xmlns:ns3="848015fe-c902-4d25-bed5-76e6ac34627d" targetNamespace="http://schemas.microsoft.com/office/2006/metadata/properties" ma:root="true" ma:fieldsID="6c84427321528b42924ffead8796fe2d" ns3:_="">
    <xsd:import namespace="848015fe-c902-4d25-bed5-76e6ac34627d"/>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8015fe-c902-4d25-bed5-76e6ac34627d"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848015fe-c902-4d25-bed5-76e6ac34627d" xsi:nil="true"/>
  </documentManagement>
</p:properties>
</file>

<file path=customXml/itemProps1.xml><?xml version="1.0" encoding="utf-8"?>
<ds:datastoreItem xmlns:ds="http://schemas.openxmlformats.org/officeDocument/2006/customXml" ds:itemID="{A3F7971D-5D01-4B58-B9E8-561473E0AA95}">
  <ds:schemaRefs>
    <ds:schemaRef ds:uri="http://schemas.microsoft.com/sharepoint/v3/contenttype/forms"/>
  </ds:schemaRefs>
</ds:datastoreItem>
</file>

<file path=customXml/itemProps2.xml><?xml version="1.0" encoding="utf-8"?>
<ds:datastoreItem xmlns:ds="http://schemas.openxmlformats.org/officeDocument/2006/customXml" ds:itemID="{9A5488EA-C6E7-4423-8021-72D6A446E5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8015fe-c902-4d25-bed5-76e6ac34627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5FAC82F-9144-4FA1-BEA5-2575DC7CA49B}">
  <ds:schemaRefs>
    <ds:schemaRef ds:uri="http://schemas.microsoft.com/office/infopath/2007/PartnerControls"/>
    <ds:schemaRef ds:uri="http://purl.org/dc/dcmitype/"/>
    <ds:schemaRef ds:uri="http://schemas.openxmlformats.org/package/2006/metadata/core-properties"/>
    <ds:schemaRef ds:uri="http://purl.org/dc/elements/1.1/"/>
    <ds:schemaRef ds:uri="http://schemas.microsoft.com/office/2006/metadata/properties"/>
    <ds:schemaRef ds:uri="http://www.w3.org/XML/1998/namespace"/>
    <ds:schemaRef ds:uri="http://purl.org/dc/terms/"/>
    <ds:schemaRef ds:uri="http://schemas.microsoft.com/office/2006/documentManagement/types"/>
    <ds:schemaRef ds:uri="848015fe-c902-4d25-bed5-76e6ac34627d"/>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Sheet2</vt:lpstr>
      <vt:lpstr>Dashboard</vt:lpstr>
      <vt:lpstr>Income</vt:lpstr>
      <vt:lpstr>Expenses</vt:lpstr>
      <vt:lpstr>Goals</vt:lpstr>
      <vt:lpstr>Financial Summary and Advice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Anushka Yadav</dc:creator>
  <cp:keywords/>
  <dc:description/>
  <cp:lastModifiedBy>Anushka Yadav</cp:lastModifiedBy>
  <cp:revision/>
  <dcterms:created xsi:type="dcterms:W3CDTF">2024-10-16T03:38:19Z</dcterms:created>
  <dcterms:modified xsi:type="dcterms:W3CDTF">2024-12-30T19:59:43Z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0x010100240DC88F4FDF2141965DC0EC4ABC1EC1</vt:lpwstr>
  </property>
</Properties>
</file>